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42716d967cf9b2b/Documentos/dashboard-financeiro-excel/planilha/"/>
    </mc:Choice>
  </mc:AlternateContent>
  <xr:revisionPtr revIDLastSave="6" documentId="13_ncr:1_{C22748C2-2819-4E72-A599-AAA6FE6CEFD7}" xr6:coauthVersionLast="47" xr6:coauthVersionMax="47" xr10:uidLastSave="{A8EFC68E-3AF6-485F-AF6B-73C2CDB20491}"/>
  <bookViews>
    <workbookView xWindow="20370" yWindow="-2190" windowWidth="29040" windowHeight="15720" tabRatio="500" activeTab="3" xr2:uid="{00000000-000D-0000-FFFF-FFFF00000000}"/>
  </bookViews>
  <sheets>
    <sheet name="📋 Lançamentos" sheetId="1" r:id="rId1"/>
    <sheet name="📊 DRE Mensal" sheetId="2" r:id="rId2"/>
    <sheet name="🎯 Indicadores KPI" sheetId="3" r:id="rId3"/>
    <sheet name="📈 Dashboard" sheetId="4" r:id="rId4"/>
    <sheet name="📖 Como Usar" sheetId="5" r:id="rId5"/>
  </sheets>
  <definedNames>
    <definedName name="_xlnm._FilterDatabase" localSheetId="0" hidden="1">'📋 Lançamentos'!$A$2:$I$387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87" i="1" l="1"/>
  <c r="B22" i="4"/>
  <c r="B21" i="4"/>
  <c r="B20" i="4"/>
  <c r="B19" i="4"/>
  <c r="B18" i="4"/>
  <c r="B17" i="4"/>
  <c r="B16" i="4"/>
  <c r="B15" i="4"/>
  <c r="B14" i="4"/>
  <c r="B13" i="4"/>
  <c r="B12" i="4"/>
  <c r="B11" i="4"/>
  <c r="B9" i="2"/>
  <c r="B28" i="2"/>
  <c r="C10" i="3"/>
  <c r="D10" i="3"/>
  <c r="E10" i="3"/>
  <c r="F10" i="3"/>
  <c r="G10" i="3"/>
  <c r="H10" i="3"/>
  <c r="I10" i="3"/>
  <c r="J10" i="3"/>
  <c r="K10" i="3"/>
  <c r="L10" i="3"/>
  <c r="M10" i="3"/>
  <c r="B10" i="3"/>
  <c r="C4" i="3"/>
  <c r="D4" i="3"/>
  <c r="E4" i="3"/>
  <c r="F4" i="3"/>
  <c r="G4" i="3"/>
  <c r="H4" i="3"/>
  <c r="I4" i="3"/>
  <c r="J4" i="3"/>
  <c r="K4" i="3"/>
  <c r="L4" i="3"/>
  <c r="M4" i="3"/>
  <c r="I3" i="1"/>
  <c r="N10" i="3" l="1"/>
  <c r="I386" i="1" l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M25" i="2" l="1" a="1"/>
  <c r="M25" i="2" s="1"/>
  <c r="D25" i="2" a="1"/>
  <c r="D25" i="2" s="1"/>
  <c r="C25" i="2" a="1"/>
  <c r="C25" i="2" s="1"/>
  <c r="B25" i="2" a="1"/>
  <c r="B25" i="2" s="1"/>
  <c r="J26" i="2" a="1"/>
  <c r="J26" i="2" s="1"/>
  <c r="F27" i="2" a="1"/>
  <c r="F27" i="2" s="1"/>
  <c r="B26" i="2" a="1"/>
  <c r="B26" i="2" s="1"/>
  <c r="M27" i="2" a="1"/>
  <c r="M27" i="2" s="1"/>
  <c r="H27" i="2" a="1"/>
  <c r="H27" i="2" s="1"/>
  <c r="J27" i="2" a="1"/>
  <c r="J27" i="2" s="1"/>
  <c r="L27" i="2" a="1"/>
  <c r="L27" i="2" s="1"/>
  <c r="D27" i="2" a="1"/>
  <c r="D27" i="2" s="1"/>
  <c r="L25" i="2" a="1"/>
  <c r="L25" i="2" s="1"/>
  <c r="J25" i="2" a="1"/>
  <c r="J25" i="2" s="1"/>
  <c r="J28" i="2" s="1"/>
  <c r="H25" i="2" a="1"/>
  <c r="H25" i="2" s="1"/>
  <c r="H28" i="2" s="1"/>
  <c r="E25" i="2" a="1"/>
  <c r="E25" i="2" s="1"/>
  <c r="E28" i="2" s="1"/>
  <c r="C26" i="2" a="1"/>
  <c r="C26" i="2" s="1"/>
  <c r="E26" i="2" a="1"/>
  <c r="E26" i="2" s="1"/>
  <c r="G26" i="2" a="1"/>
  <c r="G26" i="2" s="1"/>
  <c r="F25" i="2" a="1"/>
  <c r="F25" i="2" s="1"/>
  <c r="F26" i="2" a="1"/>
  <c r="F26" i="2" s="1"/>
  <c r="K26" i="2" a="1"/>
  <c r="K26" i="2" s="1"/>
  <c r="M26" i="2" a="1"/>
  <c r="M26" i="2" s="1"/>
  <c r="C27" i="2" a="1"/>
  <c r="C27" i="2" s="1"/>
  <c r="I26" i="2" a="1"/>
  <c r="I26" i="2" s="1"/>
  <c r="G27" i="2" a="1"/>
  <c r="G27" i="2" s="1"/>
  <c r="I27" i="2" a="1"/>
  <c r="I27" i="2" s="1"/>
  <c r="K27" i="2" a="1"/>
  <c r="K27" i="2" s="1"/>
  <c r="E27" i="2" a="1"/>
  <c r="E27" i="2" s="1"/>
  <c r="H26" i="2" a="1"/>
  <c r="H26" i="2" s="1"/>
  <c r="K25" i="2" a="1"/>
  <c r="K25" i="2" s="1"/>
  <c r="K28" i="2" s="1"/>
  <c r="I25" i="2" a="1"/>
  <c r="I25" i="2" s="1"/>
  <c r="I28" i="2" s="1"/>
  <c r="G25" i="2" a="1"/>
  <c r="G25" i="2" s="1"/>
  <c r="D26" i="2" a="1"/>
  <c r="D26" i="2" s="1"/>
  <c r="B27" i="2" a="1"/>
  <c r="B27" i="2" s="1"/>
  <c r="L26" i="2" a="1"/>
  <c r="L26" i="2" s="1"/>
  <c r="L7" i="2" a="1"/>
  <c r="L7" i="2" s="1"/>
  <c r="L6" i="2" a="1"/>
  <c r="L6" i="2" s="1"/>
  <c r="L5" i="2" a="1"/>
  <c r="L5" i="2" s="1"/>
  <c r="C6" i="2" a="1"/>
  <c r="C6" i="2" s="1"/>
  <c r="D7" i="2" a="1"/>
  <c r="D7" i="2" s="1"/>
  <c r="D6" i="2" a="1"/>
  <c r="D6" i="2" s="1"/>
  <c r="E5" i="2" a="1"/>
  <c r="E5" i="2" s="1"/>
  <c r="F7" i="2" a="1"/>
  <c r="F7" i="2" s="1"/>
  <c r="F6" i="2" a="1"/>
  <c r="F6" i="2" s="1"/>
  <c r="C8" i="2" a="1"/>
  <c r="C8" i="2" s="1"/>
  <c r="G5" i="2" a="1"/>
  <c r="G5" i="2" s="1"/>
  <c r="J6" i="2" a="1"/>
  <c r="J6" i="2" s="1"/>
  <c r="H5" i="2" a="1"/>
  <c r="H5" i="2" s="1"/>
  <c r="J7" i="2" a="1"/>
  <c r="J7" i="2" s="1"/>
  <c r="H6" i="2" a="1"/>
  <c r="H6" i="2" s="1"/>
  <c r="F5" i="2" a="1"/>
  <c r="F5" i="2" s="1"/>
  <c r="H7" i="2" a="1"/>
  <c r="H7" i="2" s="1"/>
  <c r="J5" i="2" a="1"/>
  <c r="J5" i="2" s="1"/>
  <c r="M8" i="2" a="1"/>
  <c r="M8" i="2" s="1"/>
  <c r="M5" i="2" a="1"/>
  <c r="M5" i="2" s="1"/>
  <c r="I7" i="2" a="1"/>
  <c r="I7" i="2" s="1"/>
  <c r="K8" i="2" a="1"/>
  <c r="K8" i="2" s="1"/>
  <c r="D8" i="2" a="1"/>
  <c r="D8" i="2" s="1"/>
  <c r="E6" i="2" a="1"/>
  <c r="E6" i="2" s="1"/>
  <c r="K7" i="2" a="1"/>
  <c r="K7" i="2" s="1"/>
  <c r="G8" i="2" a="1"/>
  <c r="G8" i="2" s="1"/>
  <c r="F8" i="2" a="1"/>
  <c r="F8" i="2" s="1"/>
  <c r="G6" i="2" a="1"/>
  <c r="G6" i="2" s="1"/>
  <c r="M7" i="2" a="1"/>
  <c r="M7" i="2" s="1"/>
  <c r="M6" i="2" a="1"/>
  <c r="M6" i="2" s="1"/>
  <c r="H8" i="2" a="1"/>
  <c r="H8" i="2" s="1"/>
  <c r="I6" i="2" a="1"/>
  <c r="I6" i="2" s="1"/>
  <c r="C7" i="2" a="1"/>
  <c r="C7" i="2" s="1"/>
  <c r="K5" i="2" a="1"/>
  <c r="K5" i="2" s="1"/>
  <c r="J8" i="2" a="1"/>
  <c r="J8" i="2" s="1"/>
  <c r="K6" i="2" a="1"/>
  <c r="K6" i="2" s="1"/>
  <c r="E8" i="2" a="1"/>
  <c r="E8" i="2" s="1"/>
  <c r="L8" i="2" a="1"/>
  <c r="L8" i="2" s="1"/>
  <c r="G7" i="2" a="1"/>
  <c r="G7" i="2" s="1"/>
  <c r="I5" i="2" a="1"/>
  <c r="I5" i="2" s="1"/>
  <c r="E7" i="2" a="1"/>
  <c r="E7" i="2" s="1"/>
  <c r="I8" i="2" a="1"/>
  <c r="I8" i="2" s="1"/>
  <c r="D5" i="2" a="1"/>
  <c r="D5" i="2" s="1"/>
  <c r="B7" i="2" a="1"/>
  <c r="B7" i="2" s="1"/>
  <c r="B5" i="2" a="1"/>
  <c r="B5" i="2" s="1"/>
  <c r="B6" i="2" a="1"/>
  <c r="B6" i="2" s="1"/>
  <c r="B8" i="2" a="1"/>
  <c r="B8" i="2" s="1"/>
  <c r="C5" i="2" a="1"/>
  <c r="C5" i="2" s="1"/>
  <c r="C11" i="2" a="1"/>
  <c r="C11" i="2" s="1"/>
  <c r="C12" i="2" s="1"/>
  <c r="L28" i="2" l="1"/>
  <c r="E12" i="3"/>
  <c r="K12" i="3"/>
  <c r="H12" i="3"/>
  <c r="J12" i="3"/>
  <c r="L12" i="3"/>
  <c r="I12" i="3"/>
  <c r="F28" i="2"/>
  <c r="N25" i="2"/>
  <c r="N26" i="2"/>
  <c r="N27" i="2"/>
  <c r="C28" i="2"/>
  <c r="D28" i="2"/>
  <c r="G28" i="2"/>
  <c r="M28" i="2"/>
  <c r="H20" i="2" a="1"/>
  <c r="H20" i="2" s="1"/>
  <c r="H9" i="3" s="1"/>
  <c r="J20" i="2" a="1"/>
  <c r="J20" i="2" s="1"/>
  <c r="J9" i="3" s="1"/>
  <c r="I17" i="2" a="1"/>
  <c r="I17" i="2" s="1"/>
  <c r="C20" i="2" a="1"/>
  <c r="C20" i="2" s="1"/>
  <c r="C9" i="3" s="1"/>
  <c r="K11" i="2" a="1"/>
  <c r="K11" i="2" s="1"/>
  <c r="K12" i="2" s="1"/>
  <c r="G20" i="2" a="1"/>
  <c r="G20" i="2" s="1"/>
  <c r="G9" i="3" s="1"/>
  <c r="D20" i="2" a="1"/>
  <c r="D20" i="2" s="1"/>
  <c r="D9" i="3" s="1"/>
  <c r="F20" i="2" a="1"/>
  <c r="F20" i="2" s="1"/>
  <c r="F9" i="3" s="1"/>
  <c r="E20" i="2" a="1"/>
  <c r="E20" i="2" s="1"/>
  <c r="E9" i="3" s="1"/>
  <c r="M20" i="2" a="1"/>
  <c r="M20" i="2" s="1"/>
  <c r="M9" i="3" s="1"/>
  <c r="B20" i="2" a="1"/>
  <c r="B20" i="2" s="1"/>
  <c r="B9" i="3" s="1"/>
  <c r="L20" i="2" a="1"/>
  <c r="L20" i="2" s="1"/>
  <c r="L9" i="3" s="1"/>
  <c r="B19" i="2" a="1"/>
  <c r="B19" i="2" s="1"/>
  <c r="K20" i="2" a="1"/>
  <c r="K20" i="2" s="1"/>
  <c r="K9" i="3" s="1"/>
  <c r="I20" i="2" a="1"/>
  <c r="I20" i="2" s="1"/>
  <c r="I9" i="3" s="1"/>
  <c r="I11" i="2" a="1"/>
  <c r="I11" i="2" s="1"/>
  <c r="I12" i="2" s="1"/>
  <c r="D11" i="2" a="1"/>
  <c r="D11" i="2" s="1"/>
  <c r="D12" i="2" s="1"/>
  <c r="G19" i="2" a="1"/>
  <c r="G19" i="2" s="1"/>
  <c r="F11" i="2" a="1"/>
  <c r="F11" i="2" s="1"/>
  <c r="F12" i="2" s="1"/>
  <c r="C19" i="2" a="1"/>
  <c r="C19" i="2" s="1"/>
  <c r="G11" i="2" a="1"/>
  <c r="G11" i="2" s="1"/>
  <c r="G12" i="2" s="1"/>
  <c r="D19" i="2" a="1"/>
  <c r="D19" i="2" s="1"/>
  <c r="M11" i="2" a="1"/>
  <c r="M11" i="2" s="1"/>
  <c r="M12" i="2" s="1"/>
  <c r="L19" i="2" a="1"/>
  <c r="L19" i="2" s="1"/>
  <c r="J17" i="2" a="1"/>
  <c r="J17" i="2" s="1"/>
  <c r="G18" i="2" a="1"/>
  <c r="G18" i="2" s="1"/>
  <c r="C18" i="2" a="1"/>
  <c r="C18" i="2" s="1"/>
  <c r="C17" i="2" a="1"/>
  <c r="C17" i="2" s="1"/>
  <c r="L17" i="2" a="1"/>
  <c r="L17" i="2" s="1"/>
  <c r="M16" i="2" a="1"/>
  <c r="M16" i="2" s="1"/>
  <c r="I16" i="2" a="1"/>
  <c r="I16" i="2" s="1"/>
  <c r="M19" i="2" a="1"/>
  <c r="M19" i="2" s="1"/>
  <c r="C16" i="2" a="1"/>
  <c r="C16" i="2" s="1"/>
  <c r="C21" i="2" s="1"/>
  <c r="J18" i="2" a="1"/>
  <c r="J18" i="2" s="1"/>
  <c r="I18" i="2" a="1"/>
  <c r="I18" i="2" s="1"/>
  <c r="E19" i="2" a="1"/>
  <c r="E19" i="2" s="1"/>
  <c r="E16" i="2" a="1"/>
  <c r="E16" i="2" s="1"/>
  <c r="H16" i="2" a="1"/>
  <c r="H16" i="2" s="1"/>
  <c r="K17" i="2" a="1"/>
  <c r="K17" i="2" s="1"/>
  <c r="J11" i="2" a="1"/>
  <c r="J11" i="2" s="1"/>
  <c r="J12" i="2" s="1"/>
  <c r="K18" i="2" a="1"/>
  <c r="K18" i="2" s="1"/>
  <c r="L18" i="2" a="1"/>
  <c r="L18" i="2" s="1"/>
  <c r="K16" i="2" a="1"/>
  <c r="K16" i="2" s="1"/>
  <c r="J16" i="2" a="1"/>
  <c r="J16" i="2" s="1"/>
  <c r="F17" i="2" a="1"/>
  <c r="F17" i="2" s="1"/>
  <c r="D16" i="2" a="1"/>
  <c r="D16" i="2" s="1"/>
  <c r="F18" i="2" a="1"/>
  <c r="F18" i="2" s="1"/>
  <c r="H19" i="2" a="1"/>
  <c r="H19" i="2" s="1"/>
  <c r="L16" i="2" a="1"/>
  <c r="L16" i="2" s="1"/>
  <c r="F16" i="2" a="1"/>
  <c r="F16" i="2" s="1"/>
  <c r="M18" i="2" a="1"/>
  <c r="M18" i="2" s="1"/>
  <c r="E17" i="2" a="1"/>
  <c r="E17" i="2" s="1"/>
  <c r="I19" i="2" a="1"/>
  <c r="I19" i="2" s="1"/>
  <c r="B18" i="2" a="1"/>
  <c r="B18" i="2" s="1"/>
  <c r="G16" i="2" a="1"/>
  <c r="G16" i="2" s="1"/>
  <c r="B17" i="2" a="1"/>
  <c r="B17" i="2" s="1"/>
  <c r="D17" i="2" a="1"/>
  <c r="D17" i="2" s="1"/>
  <c r="H17" i="2" a="1"/>
  <c r="H17" i="2" s="1"/>
  <c r="M17" i="2" a="1"/>
  <c r="M17" i="2" s="1"/>
  <c r="E18" i="2" a="1"/>
  <c r="E18" i="2" s="1"/>
  <c r="B16" i="2" a="1"/>
  <c r="B16" i="2" s="1"/>
  <c r="F9" i="2"/>
  <c r="H11" i="2" a="1"/>
  <c r="H11" i="2" s="1"/>
  <c r="H12" i="2" s="1"/>
  <c r="B11" i="2" a="1"/>
  <c r="B11" i="2" s="1"/>
  <c r="B12" i="2" s="1"/>
  <c r="G17" i="2" a="1"/>
  <c r="G17" i="2" s="1"/>
  <c r="J19" i="2" a="1"/>
  <c r="J19" i="2" s="1"/>
  <c r="K19" i="2" a="1"/>
  <c r="K19" i="2" s="1"/>
  <c r="F19" i="2" a="1"/>
  <c r="F19" i="2" s="1"/>
  <c r="H18" i="2" a="1"/>
  <c r="H18" i="2" s="1"/>
  <c r="D18" i="2" a="1"/>
  <c r="D18" i="2" s="1"/>
  <c r="I9" i="2"/>
  <c r="C9" i="2"/>
  <c r="D9" i="2"/>
  <c r="L9" i="2"/>
  <c r="K9" i="2"/>
  <c r="L11" i="2" a="1"/>
  <c r="L11" i="2" s="1"/>
  <c r="L12" i="2" s="1"/>
  <c r="E11" i="2" a="1"/>
  <c r="E11" i="2" s="1"/>
  <c r="E12" i="2" s="1"/>
  <c r="E9" i="2"/>
  <c r="H9" i="2"/>
  <c r="M9" i="2"/>
  <c r="G9" i="2"/>
  <c r="J9" i="2"/>
  <c r="N5" i="2"/>
  <c r="N8" i="2"/>
  <c r="N7" i="2"/>
  <c r="N6" i="2"/>
  <c r="B13" i="2" l="1"/>
  <c r="N12" i="2"/>
  <c r="C6" i="3"/>
  <c r="C12" i="4"/>
  <c r="N9" i="3"/>
  <c r="N28" i="2"/>
  <c r="B12" i="3"/>
  <c r="M12" i="3"/>
  <c r="F12" i="3"/>
  <c r="G12" i="3"/>
  <c r="D12" i="3"/>
  <c r="C12" i="3"/>
  <c r="F21" i="2"/>
  <c r="I21" i="2"/>
  <c r="D21" i="2"/>
  <c r="K21" i="2"/>
  <c r="G21" i="2"/>
  <c r="B21" i="2"/>
  <c r="L21" i="2"/>
  <c r="N20" i="2"/>
  <c r="M21" i="2"/>
  <c r="J21" i="2"/>
  <c r="E21" i="2"/>
  <c r="H21" i="2"/>
  <c r="N18" i="2"/>
  <c r="N16" i="2"/>
  <c r="J13" i="2"/>
  <c r="J5" i="3" s="1"/>
  <c r="G13" i="2"/>
  <c r="G5" i="3" s="1"/>
  <c r="K13" i="2"/>
  <c r="K5" i="3" s="1"/>
  <c r="N19" i="2"/>
  <c r="H13" i="2"/>
  <c r="H5" i="3" s="1"/>
  <c r="D13" i="2"/>
  <c r="D5" i="3" s="1"/>
  <c r="I13" i="2"/>
  <c r="I5" i="3" s="1"/>
  <c r="M13" i="2"/>
  <c r="M5" i="3" s="1"/>
  <c r="B4" i="3"/>
  <c r="F13" i="2"/>
  <c r="F5" i="3" s="1"/>
  <c r="C13" i="2"/>
  <c r="C5" i="3" s="1"/>
  <c r="N17" i="2"/>
  <c r="E13" i="2"/>
  <c r="E5" i="3" s="1"/>
  <c r="N11" i="2"/>
  <c r="L13" i="2"/>
  <c r="L5" i="3" s="1"/>
  <c r="N9" i="2"/>
  <c r="A5" i="4" s="1"/>
  <c r="C20" i="4" l="1"/>
  <c r="K6" i="3"/>
  <c r="C14" i="4"/>
  <c r="E6" i="3"/>
  <c r="D6" i="3"/>
  <c r="C13" i="4"/>
  <c r="F6" i="3"/>
  <c r="C15" i="4"/>
  <c r="H6" i="3"/>
  <c r="C17" i="4"/>
  <c r="C18" i="4"/>
  <c r="I6" i="3"/>
  <c r="C22" i="4"/>
  <c r="M6" i="3"/>
  <c r="L6" i="3"/>
  <c r="C21" i="4"/>
  <c r="B6" i="3"/>
  <c r="C11" i="4"/>
  <c r="N21" i="2"/>
  <c r="J5" i="4" s="1"/>
  <c r="C19" i="4"/>
  <c r="J6" i="3"/>
  <c r="G6" i="3"/>
  <c r="C16" i="4"/>
  <c r="B22" i="2"/>
  <c r="B29" i="2" s="1"/>
  <c r="E11" i="4" s="1"/>
  <c r="N13" i="2"/>
  <c r="J22" i="2"/>
  <c r="J29" i="2" s="1"/>
  <c r="K22" i="2"/>
  <c r="K29" i="2" s="1"/>
  <c r="F22" i="2"/>
  <c r="F29" i="2" s="1"/>
  <c r="B5" i="3"/>
  <c r="I22" i="2"/>
  <c r="I29" i="2" s="1"/>
  <c r="D22" i="2"/>
  <c r="D29" i="2" s="1"/>
  <c r="C22" i="2"/>
  <c r="C29" i="2" s="1"/>
  <c r="L22" i="2"/>
  <c r="L29" i="2" s="1"/>
  <c r="E22" i="2"/>
  <c r="E29" i="2" s="1"/>
  <c r="M22" i="2"/>
  <c r="M29" i="2" s="1"/>
  <c r="N4" i="3"/>
  <c r="H22" i="2"/>
  <c r="H29" i="2" s="1"/>
  <c r="G22" i="2"/>
  <c r="G29" i="2" s="1"/>
  <c r="H32" i="2" l="1"/>
  <c r="D17" i="4" s="1"/>
  <c r="E17" i="4"/>
  <c r="H7" i="3"/>
  <c r="G7" i="3"/>
  <c r="G32" i="2"/>
  <c r="D16" i="4" s="1"/>
  <c r="E16" i="4"/>
  <c r="E22" i="4"/>
  <c r="M7" i="3"/>
  <c r="M32" i="2"/>
  <c r="D22" i="4" s="1"/>
  <c r="E15" i="4"/>
  <c r="F32" i="2"/>
  <c r="D15" i="4" s="1"/>
  <c r="F7" i="3"/>
  <c r="D32" i="2"/>
  <c r="D13" i="4" s="1"/>
  <c r="D7" i="3"/>
  <c r="E13" i="4"/>
  <c r="I7" i="3"/>
  <c r="I32" i="2"/>
  <c r="D18" i="4" s="1"/>
  <c r="E18" i="4"/>
  <c r="E32" i="2"/>
  <c r="D14" i="4" s="1"/>
  <c r="E7" i="3"/>
  <c r="E14" i="4"/>
  <c r="K32" i="2"/>
  <c r="D20" i="4" s="1"/>
  <c r="E20" i="4"/>
  <c r="K7" i="3"/>
  <c r="J7" i="3"/>
  <c r="J32" i="2"/>
  <c r="D19" i="4" s="1"/>
  <c r="E19" i="4"/>
  <c r="L7" i="3"/>
  <c r="E21" i="4"/>
  <c r="L32" i="2"/>
  <c r="D21" i="4" s="1"/>
  <c r="E12" i="4"/>
  <c r="C32" i="2"/>
  <c r="D12" i="4" s="1"/>
  <c r="C7" i="3"/>
  <c r="N6" i="3"/>
  <c r="B7" i="3"/>
  <c r="B32" i="2"/>
  <c r="D11" i="4" s="1"/>
  <c r="N29" i="2"/>
  <c r="D5" i="4" s="1"/>
  <c r="N5" i="3"/>
  <c r="N22" i="2"/>
  <c r="N7" i="3" l="1"/>
  <c r="N32" i="2"/>
  <c r="K30" i="2"/>
  <c r="K8" i="3" s="1"/>
  <c r="G30" i="2"/>
  <c r="G8" i="3" s="1"/>
  <c r="C30" i="2"/>
  <c r="C8" i="3" s="1"/>
  <c r="F30" i="2"/>
  <c r="F8" i="3" s="1"/>
  <c r="J30" i="2"/>
  <c r="J8" i="3" s="1"/>
  <c r="M30" i="2"/>
  <c r="M8" i="3" s="1"/>
  <c r="B30" i="2"/>
  <c r="B8" i="3" s="1"/>
  <c r="I30" i="2"/>
  <c r="I8" i="3" s="1"/>
  <c r="E30" i="2"/>
  <c r="E8" i="3" s="1"/>
  <c r="D30" i="2"/>
  <c r="D8" i="3" s="1"/>
  <c r="H30" i="2"/>
  <c r="H8" i="3" s="1"/>
  <c r="L30" i="2"/>
  <c r="L8" i="3" s="1"/>
  <c r="N8" i="3" l="1"/>
  <c r="G5" i="4"/>
  <c r="N3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<sst xmlns="http://schemas.openxmlformats.org/spreadsheetml/2006/main" count="2422" uniqueCount="240">
  <si>
    <t>Data</t>
  </si>
  <si>
    <t>Mês</t>
  </si>
  <si>
    <t>Categoria</t>
  </si>
  <si>
    <t>Subcategoria</t>
  </si>
  <si>
    <t>Tipo</t>
  </si>
  <si>
    <t>Descrição</t>
  </si>
  <si>
    <t>Qtd/Unid</t>
  </si>
  <si>
    <t>Valor Unit. (R$)</t>
  </si>
  <si>
    <t>Valor Total (R$)</t>
  </si>
  <si>
    <t>2024-01-10</t>
  </si>
  <si>
    <t>Janeiro</t>
  </si>
  <si>
    <t>Vendas Salão</t>
  </si>
  <si>
    <t>Pratos Principais</t>
  </si>
  <si>
    <t>Receita</t>
  </si>
  <si>
    <t>Venda de pratos principais (almoço/jantar)</t>
  </si>
  <si>
    <t>Entradas e Petiscos</t>
  </si>
  <si>
    <t>Venda de entradas e petiscos</t>
  </si>
  <si>
    <t>2024-01-05</t>
  </si>
  <si>
    <t>Sobremesas</t>
  </si>
  <si>
    <t>Venda de sobremesas</t>
  </si>
  <si>
    <t>2024-01-20</t>
  </si>
  <si>
    <t>Bebidas</t>
  </si>
  <si>
    <t>Drinks e Coquetéis</t>
  </si>
  <si>
    <t>Venda de drinks e coquetéis artesanais</t>
  </si>
  <si>
    <t>2024-01-28</t>
  </si>
  <si>
    <t>Vinhos e Cervejas</t>
  </si>
  <si>
    <t>Venda de vinhos e cervejas importadas</t>
  </si>
  <si>
    <t>2024-01-25</t>
  </si>
  <si>
    <t>Não Alcoólicas</t>
  </si>
  <si>
    <t>Sucos, refrigerantes e água</t>
  </si>
  <si>
    <t>Delivery</t>
  </si>
  <si>
    <t>iFood/Rappi</t>
  </si>
  <si>
    <t>Pedidos via plataformas de delivery</t>
  </si>
  <si>
    <t>Delivery Próprio</t>
  </si>
  <si>
    <t>Pedidos via app próprio do restaurante</t>
  </si>
  <si>
    <t>2024-01-15</t>
  </si>
  <si>
    <t>Eventos</t>
  </si>
  <si>
    <t>Festas Privadas</t>
  </si>
  <si>
    <t>Aluguel de espaço para eventos privados</t>
  </si>
  <si>
    <t>Happy Hour Empresa</t>
  </si>
  <si>
    <t>Pacotes happy hour corporativo</t>
  </si>
  <si>
    <t>CMV</t>
  </si>
  <si>
    <t>Carnes e Proteínas</t>
  </si>
  <si>
    <t>Despesa</t>
  </si>
  <si>
    <t>Compra de carnes, frutos do mar e proteínas</t>
  </si>
  <si>
    <t>Hortifrúti</t>
  </si>
  <si>
    <t>Verduras, legumes e frutas</t>
  </si>
  <si>
    <t>Laticínios/Secos</t>
  </si>
  <si>
    <t>Queijos, massas, grãos e secos</t>
  </si>
  <si>
    <t>Bebidas/Bar</t>
  </si>
  <si>
    <t>Compra de bebidas para revenda</t>
  </si>
  <si>
    <t>Pessoal</t>
  </si>
  <si>
    <t>Cozinha</t>
  </si>
  <si>
    <t>Salários equipe de cozinha (chef + auxiliares)</t>
  </si>
  <si>
    <t>Salão e Atendimento</t>
  </si>
  <si>
    <t>Salários garçons e hostess</t>
  </si>
  <si>
    <t>Delivery/Moto</t>
  </si>
  <si>
    <t>Salários entregadores</t>
  </si>
  <si>
    <t>Encargos Trabalhistas</t>
  </si>
  <si>
    <t>FGTS, INSS, férias e 13º proporcional</t>
  </si>
  <si>
    <t>Infraestrutura</t>
  </si>
  <si>
    <t>Aluguel</t>
  </si>
  <si>
    <t>Aluguel do ponto comercial</t>
  </si>
  <si>
    <t>Energia Elétrica</t>
  </si>
  <si>
    <t>Conta de energia (cozinha industrial)</t>
  </si>
  <si>
    <t>Gás</t>
  </si>
  <si>
    <t>Gás de cozinha</t>
  </si>
  <si>
    <t>Água/Esgoto</t>
  </si>
  <si>
    <t>Conta de água e esgoto</t>
  </si>
  <si>
    <t>Internet/Telefone</t>
  </si>
  <si>
    <t>Plano de internet e telefonia</t>
  </si>
  <si>
    <t>Operacional</t>
  </si>
  <si>
    <t>Embalagens Delivery</t>
  </si>
  <si>
    <t>Embalagens, sacolas e descartáveis</t>
  </si>
  <si>
    <t>Produtos de Limpeza</t>
  </si>
  <si>
    <t>Material de limpeza e higiene</t>
  </si>
  <si>
    <t>Uniformes</t>
  </si>
  <si>
    <t>Uniformes e EPIs da equipe</t>
  </si>
  <si>
    <t>Manutenção Equip.</t>
  </si>
  <si>
    <t>Manutenção equipamentos (forno, câmara fria)</t>
  </si>
  <si>
    <t>Marketing</t>
  </si>
  <si>
    <t>Redes Sociais</t>
  </si>
  <si>
    <t>Gerenciamento de Instagram e TikTok</t>
  </si>
  <si>
    <t>Fotografia/Cardápio</t>
  </si>
  <si>
    <t>Fotos profissionais de pratos</t>
  </si>
  <si>
    <t>Taxas/Impostos</t>
  </si>
  <si>
    <t>Simples Nacional</t>
  </si>
  <si>
    <t>DAS - Simples Nacional</t>
  </si>
  <si>
    <t>Taxa iFood/Rappi</t>
  </si>
  <si>
    <t>Comissão plataformas de delivery (27%)</t>
  </si>
  <si>
    <t>Alvará e Licenças</t>
  </si>
  <si>
    <t>Renovação de alvarás e taxas municipais</t>
  </si>
  <si>
    <t>2024-02-10</t>
  </si>
  <si>
    <t>Fevereiro</t>
  </si>
  <si>
    <t>2024-02-05</t>
  </si>
  <si>
    <t>2024-02-20</t>
  </si>
  <si>
    <t>2024-02-28</t>
  </si>
  <si>
    <t>2024-02-15</t>
  </si>
  <si>
    <t>2024-03-10</t>
  </si>
  <si>
    <t>Março</t>
  </si>
  <si>
    <t>2024-03-28</t>
  </si>
  <si>
    <t>2024-03-20</t>
  </si>
  <si>
    <t>2024-03-05</t>
  </si>
  <si>
    <t>2024-03-15</t>
  </si>
  <si>
    <t>2024-03-25</t>
  </si>
  <si>
    <t>2024-04-15</t>
  </si>
  <si>
    <t>Abril</t>
  </si>
  <si>
    <t>2024-04-28</t>
  </si>
  <si>
    <t>2024-04-25</t>
  </si>
  <si>
    <t>2024-04-10</t>
  </si>
  <si>
    <t>2024-04-05</t>
  </si>
  <si>
    <t>2024-04-20</t>
  </si>
  <si>
    <t>2024-05-15</t>
  </si>
  <si>
    <t>Maio</t>
  </si>
  <si>
    <t>2024-05-25</t>
  </si>
  <si>
    <t>2024-05-20</t>
  </si>
  <si>
    <t>2024-05-10</t>
  </si>
  <si>
    <t>2024-05-05</t>
  </si>
  <si>
    <t>2024-05-28</t>
  </si>
  <si>
    <t>2024-06-10</t>
  </si>
  <si>
    <t>Junho</t>
  </si>
  <si>
    <t>2024-06-28</t>
  </si>
  <si>
    <t>2024-06-05</t>
  </si>
  <si>
    <t>2024-06-15</t>
  </si>
  <si>
    <t>2024-06-25</t>
  </si>
  <si>
    <t>2024-06-20</t>
  </si>
  <si>
    <t>2024-07-10</t>
  </si>
  <si>
    <t>Julho</t>
  </si>
  <si>
    <t>2024-07-05</t>
  </si>
  <si>
    <t>2024-07-15</t>
  </si>
  <si>
    <t>2024-07-20</t>
  </si>
  <si>
    <t>2024-07-28</t>
  </si>
  <si>
    <t>2024-07-25</t>
  </si>
  <si>
    <t>2024-08-28</t>
  </si>
  <si>
    <t>Agosto</t>
  </si>
  <si>
    <t>2024-08-15</t>
  </si>
  <si>
    <t>2024-08-25</t>
  </si>
  <si>
    <t>2024-08-10</t>
  </si>
  <si>
    <t>2024-08-05</t>
  </si>
  <si>
    <t>2024-08-20</t>
  </si>
  <si>
    <t>2024-09-20</t>
  </si>
  <si>
    <t>Setembro</t>
  </si>
  <si>
    <t>2024-09-25</t>
  </si>
  <si>
    <t>2024-09-05</t>
  </si>
  <si>
    <t>2024-09-15</t>
  </si>
  <si>
    <t>2024-09-28</t>
  </si>
  <si>
    <t>2024-09-10</t>
  </si>
  <si>
    <t>2024-10-25</t>
  </si>
  <si>
    <t>Outubro</t>
  </si>
  <si>
    <t>2024-10-28</t>
  </si>
  <si>
    <t>2024-10-15</t>
  </si>
  <si>
    <t>2024-10-05</t>
  </si>
  <si>
    <t>2024-10-20</t>
  </si>
  <si>
    <t>2024-10-10</t>
  </si>
  <si>
    <t>2024-11-15</t>
  </si>
  <si>
    <t>Novembro</t>
  </si>
  <si>
    <t>2024-11-20</t>
  </si>
  <si>
    <t>2024-11-25</t>
  </si>
  <si>
    <t>2024-11-28</t>
  </si>
  <si>
    <t>2024-11-10</t>
  </si>
  <si>
    <t>2024-11-05</t>
  </si>
  <si>
    <t>2024-12-15</t>
  </si>
  <si>
    <t>Dezembro</t>
  </si>
  <si>
    <t>2024-12-05</t>
  </si>
  <si>
    <t>2024-12-25</t>
  </si>
  <si>
    <t>2024-12-28</t>
  </si>
  <si>
    <t>2024-12-10</t>
  </si>
  <si>
    <t>2024-12-20</t>
  </si>
  <si>
    <t>TOTAL GERAL</t>
  </si>
  <si>
    <t>💡 Dica: Use os filtros da linha 2 para analisar por Mês, Categoria ou Tipo. Valores na coluna I são calculados automaticamente (Qtd × Valor Unit.).</t>
  </si>
  <si>
    <t>📊  DEMONSTRAÇÃO DO RESULTADO DO EXERCÍCIO (DRE) — 2024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</si>
  <si>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</si>
  <si>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</si>
  <si>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</si>
  <si>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</si>
  <si>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</si>
  <si>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</si>
  <si>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</si>
  <si>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</si>
  <si>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</si>
  <si>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</si>
  <si>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</si>
  <si>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</si>
  <si>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</si>
  <si>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 xml:space="preserve">  ▶  RECEITAS BRUTAS</t>
  </si>
  <si>
    <t>RECEITA BRUTA TOTAL</t>
  </si>
  <si>
    <t xml:space="preserve">  ▶  DEDUÇÕES E IMPOSTOS</t>
  </si>
  <si>
    <t xml:space="preserve">   Impostos sobre Receita (ISS/PIS/COFINS)</t>
  </si>
  <si>
    <t>TOTAL DEDUÇÕES</t>
  </si>
  <si>
    <t>RECEITA LÍQUIDA</t>
  </si>
  <si>
    <t xml:space="preserve">  ▶  CUSTOS OPERACIONAIS</t>
  </si>
  <si>
    <t>TOTAL CUSTOS OPERACIONAIS</t>
  </si>
  <si>
    <t>LUCRO BRUTO</t>
  </si>
  <si>
    <t>TOTAL DESPESAS ADM.</t>
  </si>
  <si>
    <t>EBITDA (Resultado Operacional)</t>
  </si>
  <si>
    <t xml:space="preserve">   Margem EBITDA (%)</t>
  </si>
  <si>
    <t>RESULTADO LÍQUIDO DO MÊS</t>
  </si>
  <si>
    <t>🎯  PAINEL DE INDICADORES — KPI FINANCEIRO 2024</t>
  </si>
  <si>
    <t>📈 Receita Bruta Total</t>
  </si>
  <si>
    <t>💰 Receita Líquida</t>
  </si>
  <si>
    <t>💸 Total Despesas</t>
  </si>
  <si>
    <t>📊 EBITDA</t>
  </si>
  <si>
    <t>📉 Margem EBITDA (%)</t>
  </si>
  <si>
    <t>🧾 Custo com Pessoal</t>
  </si>
  <si>
    <t>🏗️ Custos Fixos (Infra)</t>
  </si>
  <si>
    <t>✅ STATUS DO MÊS</t>
  </si>
  <si>
    <t>RECEITA TOTAL</t>
  </si>
  <si>
    <t>RESULTADO ANUAL</t>
  </si>
  <si>
    <t>MARGEM MÉDIA</t>
  </si>
  <si>
    <t>DESPESA TOTAL</t>
  </si>
  <si>
    <t>Despesas</t>
  </si>
  <si>
    <t>Resultado</t>
  </si>
  <si>
    <t>Margem%</t>
  </si>
  <si>
    <t>Infraestrutura (Aluguel/Energia)</t>
  </si>
  <si>
    <t>Marketing e Publicidade</t>
  </si>
  <si>
    <t xml:space="preserve">  ▶  DESPESAS ADMINISTRATIVAS, MARKETING E CMV</t>
  </si>
  <si>
    <t>🏥  SOBRE ESTE PROJETO</t>
  </si>
  <si>
    <t>Criado como projeto de portfólio para demonstrar automação de planilhas financeiras.</t>
  </si>
  <si>
    <t>📋  ABAS DO ARQUIVO</t>
  </si>
  <si>
    <t>📋 Lançamentos  →  Base de dados com todas as receitas e despesas mensais.</t>
  </si>
  <si>
    <t>📊 DRE Mensal   →  Demonstração do Resultado por mês com fórmulas automáticas.</t>
  </si>
  <si>
    <t>🎯 Indicadores KPI  →  Principais métricas financeiras calculadas automaticamente.</t>
  </si>
  <si>
    <t>📈 Dashboard    →  Visão gráfica e resumo executivo do desempenho anual.</t>
  </si>
  <si>
    <t>✏️  COMO PERSONALIZAR</t>
  </si>
  <si>
    <t>1. Acesse a aba '📋 Lançamentos' e altere os valores na coluna Valor (R$).</t>
  </si>
  <si>
    <t>2. Todas as abas se atualizam automaticamente (DRE, KPI e Dashboard).</t>
  </si>
  <si>
    <t>3. Adicione novas linhas antes da última linha de dados para incluir lançamentos.</t>
  </si>
  <si>
    <t>🎨  LEGENDA DE CORES</t>
  </si>
  <si>
    <t>Texto VERMELHO  →  Despesa / Resultado negativo</t>
  </si>
  <si>
    <t>Fundo AMARELO  →  Atenção: premissa importante</t>
  </si>
  <si>
    <t>📌  OBSERVAÇÕES TÉCNICAS</t>
  </si>
  <si>
    <t>• Fórmulas SUMPRODUCT puxam dados dinamicamente da aba Lançamentos.</t>
  </si>
  <si>
    <t>Projeto desenvolvido para demonstração de habilidades em Excel financeiro.</t>
  </si>
  <si>
    <t>Este arquivo simula o sistema financeiro de um restaurante/food service, com dados de 2024.</t>
  </si>
  <si>
    <t>🍽️  RESTAURANTE SABOR DE CASA — LANÇAMENTOS FINANCEIROS 2024</t>
  </si>
  <si>
    <t>📖  GUIA DE USO — SABOR DE CASA DASHBOARD</t>
  </si>
  <si>
    <t>4. A coluna em AZUL é fórmula</t>
  </si>
  <si>
    <t>Texto AZUL   →  Valor de Receita Bruta e EBITDA</t>
  </si>
  <si>
    <t>Texto VERDE  →  Resultado positivo / Receita Líquida</t>
  </si>
  <si>
    <t>📈  DASHBOARD FINANCEIRO — SABOR DE CASA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</si>
</sst>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;&quot;(R$ &quot;#,##0.00\);\-"/>
    <numFmt numFmtId="165" formatCode="&quot;R$ &quot;#,##0;&quot;(R$ &quot;#,##0\);\-"/>
    <numFmt numFmtId="166" formatCode="0.0%"/>
    <numFmt numFmtId="167" formatCode="&quot;R$ &quot;#,##0"/>
  </numFmts>
  <fonts count="3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6100"/>
      <name val="Arial"/>
      <charset val="1"/>
    </font>
    <font>
      <b/>
      <sz val="9"/>
      <color rgb="FFC00000"/>
      <name val="Arial"/>
      <charset val="1"/>
    </font>
    <font>
      <b/>
      <sz val="11"/>
      <color rgb="FFFFFFFF"/>
      <name val="Arial"/>
      <charset val="1"/>
    </font>
    <font>
      <i/>
      <sz val="9"/>
      <color rgb="FF444444"/>
      <name val="Arial"/>
      <charset val="1"/>
    </font>
    <font>
      <sz val="10"/>
      <color rgb="FF000000"/>
      <name val="Arial"/>
      <charset val="1"/>
    </font>
    <font>
      <b/>
      <sz val="10"/>
      <color rgb="FF1A3C5E"/>
      <name val="Arial"/>
      <charset val="1"/>
    </font>
    <font>
      <b/>
      <sz val="10"/>
      <color rgb="FFC00000"/>
      <name val="Arial"/>
      <charset val="1"/>
    </font>
    <font>
      <b/>
      <sz val="10"/>
      <color rgb="FF1E6B3A"/>
      <name val="Arial"/>
      <charset val="1"/>
    </font>
    <font>
      <sz val="10"/>
      <color rgb="FFC00000"/>
      <name val="Arial"/>
      <charset val="1"/>
    </font>
    <font>
      <sz val="10"/>
      <color rgb="FFE26B0A"/>
      <name val="Arial"/>
      <charset val="1"/>
    </font>
    <font>
      <b/>
      <sz val="10"/>
      <color rgb="FFE26B0A"/>
      <name val="Arial"/>
      <charset val="1"/>
    </font>
    <font>
      <i/>
      <sz val="10"/>
      <color rgb="FF444444"/>
      <name val="Arial"/>
      <charset val="1"/>
    </font>
    <font>
      <i/>
      <sz val="10"/>
      <color rgb="FF000000"/>
      <name val="Arial"/>
      <charset val="1"/>
    </font>
    <font>
      <sz val="10"/>
      <color rgb="FF1A3C5E"/>
      <name val="Arial"/>
      <charset val="1"/>
    </font>
    <font>
      <sz val="10"/>
      <color rgb="FF1E6B3A"/>
      <name val="Arial"/>
      <charset val="1"/>
    </font>
    <font>
      <b/>
      <sz val="10"/>
      <color rgb="FF000000"/>
      <name val="Arial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sz val="10"/>
      <color rgb="FF1A3C5E"/>
      <name val="Arial"/>
      <family val="2"/>
    </font>
    <font>
      <sz val="10"/>
      <color rgb="FF006100"/>
      <name val="Arial"/>
      <family val="2"/>
    </font>
    <font>
      <sz val="10"/>
      <color rgb="FFC00000"/>
      <name val="Arial"/>
      <family val="2"/>
    </font>
    <font>
      <sz val="10"/>
      <color rgb="FFE26B0A"/>
      <name val="Arial"/>
      <family val="2"/>
    </font>
    <font>
      <sz val="10"/>
      <color rgb="FF888888"/>
      <name val="Arial"/>
      <family val="2"/>
    </font>
    <font>
      <b/>
      <sz val="14"/>
      <color rgb="FFFFFFFF"/>
      <name val="Arial"/>
      <family val="2"/>
    </font>
    <font>
      <b/>
      <sz val="15"/>
      <color rgb="FFFFFFFF"/>
      <name val="Arial"/>
      <family val="2"/>
    </font>
    <font>
      <b/>
      <u/>
      <sz val="10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A3C5E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CCCC"/>
        <bgColor rgb="FFCCCCCC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CCCCCC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7030A0"/>
        <bgColor rgb="FF993366"/>
      </patternFill>
    </fill>
    <fill>
      <patternFill patternType="solid">
        <fgColor rgb="FFE26B0A"/>
        <bgColor rgb="FFFF9900"/>
      </patternFill>
    </fill>
    <fill>
      <patternFill patternType="solid">
        <fgColor rgb="FFFFEB9C"/>
        <bgColor rgb="FFFFCCCC"/>
      </patternFill>
    </fill>
    <fill>
      <patternFill patternType="solid">
        <fgColor rgb="FFF2F2F2"/>
        <bgColor rgb="FFF9F9F9"/>
      </patternFill>
    </fill>
    <fill>
      <patternFill patternType="solid">
        <fgColor rgb="FF1E6B3A"/>
        <bgColor rgb="FF006100"/>
      </patternFill>
    </fill>
    <fill>
      <patternFill patternType="solid">
        <fgColor theme="3" tint="0.79998168889431442"/>
        <bgColor rgb="FFF2F2F2"/>
      </patternFill>
    </fill>
    <fill>
      <patternFill patternType="solid">
        <fgColor theme="3" tint="0.79998168889431442"/>
        <bgColor rgb="FFFFFFFF"/>
      </patternFill>
    </fill>
  </fills>
  <borders count="8">
    <border>
      <left/>
      <right/>
      <top/>
      <bottom/>
      <diagonal/>
    </border>
    <border>
      <left style="medium">
        <color rgb="FF1A3C5E"/>
      </left>
      <right/>
      <top style="medium">
        <color rgb="FF1A3C5E"/>
      </top>
      <bottom style="medium">
        <color rgb="FF1A3C5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A3C5E"/>
      </left>
      <right style="medium">
        <color rgb="FF1A3C5E"/>
      </right>
      <top style="medium">
        <color rgb="FF1A3C5E"/>
      </top>
      <bottom style="medium">
        <color rgb="FF1A3C5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1A3C5E"/>
      </left>
      <right/>
      <top style="medium">
        <color rgb="FF1A3C5E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1A3C5E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165" fontId="8" fillId="8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 wrapText="1"/>
    </xf>
    <xf numFmtId="165" fontId="9" fillId="9" borderId="2" xfId="0" applyNumberFormat="1" applyFont="1" applyFill="1" applyBorder="1" applyAlignment="1">
      <alignment horizontal="right" vertical="center"/>
    </xf>
    <xf numFmtId="0" fontId="10" fillId="11" borderId="2" xfId="0" applyFont="1" applyFill="1" applyBorder="1" applyAlignment="1">
      <alignment horizontal="left" vertical="center" wrapText="1"/>
    </xf>
    <xf numFmtId="165" fontId="10" fillId="11" borderId="2" xfId="0" applyNumberFormat="1" applyFont="1" applyFill="1" applyBorder="1" applyAlignment="1">
      <alignment horizontal="right" vertical="center"/>
    </xf>
    <xf numFmtId="0" fontId="11" fillId="12" borderId="2" xfId="0" applyFont="1" applyFill="1" applyBorder="1" applyAlignment="1">
      <alignment horizontal="left" vertical="center" wrapText="1"/>
    </xf>
    <xf numFmtId="165" fontId="11" fillId="12" borderId="2" xfId="0" applyNumberFormat="1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left" vertical="center" wrapText="1"/>
    </xf>
    <xf numFmtId="165" fontId="12" fillId="8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 wrapText="1"/>
    </xf>
    <xf numFmtId="165" fontId="13" fillId="8" borderId="2" xfId="0" applyNumberFormat="1" applyFont="1" applyFill="1" applyBorder="1" applyAlignment="1">
      <alignment horizontal="right" vertical="center"/>
    </xf>
    <xf numFmtId="0" fontId="14" fillId="15" borderId="2" xfId="0" applyFont="1" applyFill="1" applyBorder="1" applyAlignment="1">
      <alignment horizontal="left" vertical="center" wrapText="1"/>
    </xf>
    <xf numFmtId="165" fontId="14" fillId="15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 wrapText="1"/>
    </xf>
    <xf numFmtId="165" fontId="2" fillId="2" borderId="2" xfId="0" applyNumberFormat="1" applyFont="1" applyFill="1" applyBorder="1" applyAlignment="1">
      <alignment horizontal="right" vertical="center"/>
    </xf>
    <xf numFmtId="0" fontId="15" fillId="16" borderId="2" xfId="0" applyFont="1" applyFill="1" applyBorder="1" applyAlignment="1">
      <alignment horizontal="left" vertical="center" wrapText="1"/>
    </xf>
    <xf numFmtId="166" fontId="16" fillId="16" borderId="2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center" vertical="center" wrapText="1"/>
    </xf>
    <xf numFmtId="167" fontId="17" fillId="9" borderId="2" xfId="0" applyNumberFormat="1" applyFont="1" applyFill="1" applyBorder="1" applyAlignment="1">
      <alignment horizontal="right" vertical="center"/>
    </xf>
    <xf numFmtId="167" fontId="18" fillId="12" borderId="2" xfId="0" applyNumberFormat="1" applyFont="1" applyFill="1" applyBorder="1" applyAlignment="1">
      <alignment horizontal="right" vertical="center"/>
    </xf>
    <xf numFmtId="167" fontId="12" fillId="11" borderId="2" xfId="0" applyNumberFormat="1" applyFont="1" applyFill="1" applyBorder="1" applyAlignment="1">
      <alignment horizontal="right" vertical="center"/>
    </xf>
    <xf numFmtId="166" fontId="13" fillId="15" borderId="2" xfId="0" applyNumberFormat="1" applyFont="1" applyFill="1" applyBorder="1" applyAlignment="1">
      <alignment horizontal="right" vertical="center"/>
    </xf>
    <xf numFmtId="167" fontId="13" fillId="15" borderId="2" xfId="0" applyNumberFormat="1" applyFont="1" applyFill="1" applyBorder="1" applyAlignment="1">
      <alignment horizontal="right" vertical="center"/>
    </xf>
    <xf numFmtId="0" fontId="19" fillId="12" borderId="3" xfId="0" applyFont="1" applyFill="1" applyBorder="1" applyAlignment="1">
      <alignment horizontal="center" vertical="center" wrapText="1"/>
    </xf>
    <xf numFmtId="0" fontId="0" fillId="16" borderId="2" xfId="0" applyFill="1" applyBorder="1"/>
    <xf numFmtId="0" fontId="21" fillId="3" borderId="2" xfId="0" applyFont="1" applyFill="1" applyBorder="1"/>
    <xf numFmtId="0" fontId="3" fillId="0" borderId="2" xfId="0" applyFont="1" applyBorder="1"/>
    <xf numFmtId="167" fontId="3" fillId="0" borderId="2" xfId="0" applyNumberFormat="1" applyFont="1" applyBorder="1"/>
    <xf numFmtId="166" fontId="3" fillId="0" borderId="2" xfId="0" applyNumberFormat="1" applyFont="1" applyBorder="1"/>
    <xf numFmtId="0" fontId="12" fillId="8" borderId="6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top" wrapText="1"/>
    </xf>
    <xf numFmtId="165" fontId="22" fillId="8" borderId="2" xfId="0" applyNumberFormat="1" applyFont="1" applyFill="1" applyBorder="1" applyAlignment="1">
      <alignment horizontal="right" vertical="center"/>
    </xf>
    <xf numFmtId="164" fontId="3" fillId="18" borderId="2" xfId="0" applyNumberFormat="1" applyFont="1" applyFill="1" applyBorder="1" applyAlignment="1">
      <alignment horizontal="right" vertical="center"/>
    </xf>
    <xf numFmtId="164" fontId="3" fillId="19" borderId="2" xfId="0" applyNumberFormat="1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167" fontId="20" fillId="3" borderId="5" xfId="0" applyNumberFormat="1" applyFont="1" applyFill="1" applyBorder="1" applyAlignment="1">
      <alignment horizontal="center" vertical="center" wrapText="1"/>
    </xf>
    <xf numFmtId="167" fontId="20" fillId="17" borderId="5" xfId="0" applyNumberFormat="1" applyFont="1" applyFill="1" applyBorder="1" applyAlignment="1">
      <alignment horizontal="center" vertical="center" wrapText="1"/>
    </xf>
    <xf numFmtId="166" fontId="20" fillId="13" borderId="5" xfId="0" applyNumberFormat="1" applyFont="1" applyFill="1" applyBorder="1" applyAlignment="1">
      <alignment horizontal="center" vertical="center" wrapText="1"/>
    </xf>
    <xf numFmtId="167" fontId="20" fillId="10" borderId="5" xfId="0" applyNumberFormat="1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31" fillId="16" borderId="4" xfId="0" applyFont="1" applyFill="1" applyBorder="1" applyAlignment="1">
      <alignment horizontal="left" vertical="center" wrapText="1"/>
    </xf>
    <xf numFmtId="0" fontId="28" fillId="12" borderId="4" xfId="0" applyFont="1" applyFill="1" applyBorder="1" applyAlignment="1">
      <alignment horizontal="left" vertical="center" wrapText="1"/>
    </xf>
    <xf numFmtId="0" fontId="29" fillId="11" borderId="4" xfId="0" applyFont="1" applyFill="1" applyBorder="1" applyAlignment="1">
      <alignment horizontal="left" vertical="center" wrapText="1"/>
    </xf>
    <xf numFmtId="0" fontId="30" fillId="15" borderId="4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27" fillId="9" borderId="4" xfId="0" applyFont="1" applyFill="1" applyBorder="1" applyAlignment="1">
      <alignment horizontal="left" vertical="center" wrapText="1"/>
    </xf>
    <xf numFmtId="0" fontId="25" fillId="16" borderId="4" xfId="0" applyFont="1" applyFill="1" applyBorder="1" applyAlignment="1">
      <alignment horizontal="left" vertical="center" wrapText="1"/>
    </xf>
    <xf numFmtId="0" fontId="25" fillId="8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left" vertical="center" wrapText="1"/>
    </xf>
    <xf numFmtId="0" fontId="24" fillId="3" borderId="4" xfId="0" applyFont="1" applyFill="1" applyBorder="1" applyAlignment="1">
      <alignment horizontal="left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 vs Despesa por 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Dashboard'!$B$10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Dashboard'!$A$11:$A$22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Dashboard'!$B$11:$B$22</c:f>
              <c:numCache>
                <c:formatCode>"R$ "#,##0</c:formatCode>
                <c:ptCount val="12"/>
                <c:pt idx="0">
                  <c:v>82926</c:v>
                </c:pt>
                <c:pt idx="1">
                  <c:v>84534</c:v>
                </c:pt>
                <c:pt idx="2">
                  <c:v>97722</c:v>
                </c:pt>
                <c:pt idx="3">
                  <c:v>108388</c:v>
                </c:pt>
                <c:pt idx="4">
                  <c:v>110071</c:v>
                </c:pt>
                <c:pt idx="5">
                  <c:v>118631</c:v>
                </c:pt>
                <c:pt idx="6">
                  <c:v>120257</c:v>
                </c:pt>
                <c:pt idx="7">
                  <c:v>111396</c:v>
                </c:pt>
                <c:pt idx="8">
                  <c:v>107448</c:v>
                </c:pt>
                <c:pt idx="9">
                  <c:v>115762</c:v>
                </c:pt>
                <c:pt idx="10">
                  <c:v>122115</c:v>
                </c:pt>
                <c:pt idx="11">
                  <c:v>144199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7-42D4-8E30-7D0F7CDEC7EE}"/>
            </c:ext>
          </c:extLst>
        </c:ser>
        <c:ser>
          <c:idx val="1"/>
          <c:order val="1"/>
          <c:tx>
            <c:strRef>
              <c:f>'📈 Dashboard'!$C$10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Dashboard'!$A$11:$A$22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Dashboard'!$C$11:$C$22</c:f>
              <c:numCache>
                <c:formatCode>"R$ "#,##0</c:formatCode>
                <c:ptCount val="12"/>
                <c:pt idx="0">
                  <c:v>72331.14</c:v>
                </c:pt>
                <c:pt idx="1">
                  <c:v>75093.100000000006</c:v>
                </c:pt>
                <c:pt idx="2">
                  <c:v>81997.590000000011</c:v>
                </c:pt>
                <c:pt idx="3">
                  <c:v>92749.06</c:v>
                </c:pt>
                <c:pt idx="4">
                  <c:v>95370.91</c:v>
                </c:pt>
                <c:pt idx="5">
                  <c:v>99619.95</c:v>
                </c:pt>
                <c:pt idx="6">
                  <c:v>105379.96</c:v>
                </c:pt>
                <c:pt idx="7">
                  <c:v>98501.01</c:v>
                </c:pt>
                <c:pt idx="8">
                  <c:v>93586.76</c:v>
                </c:pt>
                <c:pt idx="9">
                  <c:v>102608.04999999999</c:v>
                </c:pt>
                <c:pt idx="10">
                  <c:v>107827.57999999999</c:v>
                </c:pt>
                <c:pt idx="11">
                  <c:v>122439.83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7-42D4-8E30-7D0F7CDE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9527"/>
        <c:axId val="50390968"/>
      </c:barChart>
      <c:catAx>
        <c:axId val="739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0390968"/>
        <c:crosses val="autoZero"/>
        <c:auto val="1"/>
        <c:lblAlgn val="ctr"/>
        <c:lblOffset val="100"/>
        <c:noMultiLvlLbl val="0"/>
      </c:catAx>
      <c:valAx>
        <c:axId val="50390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39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do Resultado Mensal (EBITDA)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Dashboard'!$D$10</c:f>
              <c:strCache>
                <c:ptCount val="1"/>
                <c:pt idx="0">
                  <c:v>Resultado</c:v>
                </c:pt>
              </c:strCache>
            </c:strRef>
          </c:tx>
          <c:spPr>
            <a:ln w="28440">
              <a:solidFill>
                <a:srgbClr val="1E6B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Dashboard'!$A$11:$A$22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Dashboard'!$D$11:$D$22</c:f>
              <c:numCache>
                <c:formatCode>"R$ "#,##0</c:formatCode>
                <c:ptCount val="12"/>
                <c:pt idx="0">
                  <c:v>1963.6000000000058</c:v>
                </c:pt>
                <c:pt idx="1">
                  <c:v>594.98999999999796</c:v>
                </c:pt>
                <c:pt idx="2">
                  <c:v>5800.6399999999849</c:v>
                </c:pt>
                <c:pt idx="3">
                  <c:v>4879.8099999999904</c:v>
                </c:pt>
                <c:pt idx="4">
                  <c:v>3458.9300000000003</c:v>
                </c:pt>
                <c:pt idx="5">
                  <c:v>7145.2100000000064</c:v>
                </c:pt>
                <c:pt idx="6">
                  <c:v>1918.6699999999983</c:v>
                </c:pt>
                <c:pt idx="7">
                  <c:v>835.73000000001048</c:v>
                </c:pt>
                <c:pt idx="8">
                  <c:v>2684.070000000007</c:v>
                </c:pt>
                <c:pt idx="9">
                  <c:v>896.79000000000087</c:v>
                </c:pt>
                <c:pt idx="10">
                  <c:v>1274.7200000000084</c:v>
                </c:pt>
                <c:pt idx="11">
                  <c:v>6791.3000000000029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07-4AC2-B5FE-10083C90C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352339"/>
        <c:axId val="82750040"/>
      </c:lineChart>
      <c:catAx>
        <c:axId val="883523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2750040"/>
        <c:crosses val="autoZero"/>
        <c:auto val="1"/>
        <c:lblAlgn val="ctr"/>
        <c:lblOffset val="100"/>
        <c:noMultiLvlLbl val="0"/>
      </c:catAx>
      <c:valAx>
        <c:axId val="82750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352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161925</xdr:rowOff>
    </xdr:from>
    <xdr:to>
      <xdr:col>8</xdr:col>
      <xdr:colOff>471792</xdr:colOff>
      <xdr:row>31</xdr:row>
      <xdr:rowOff>100305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E192D-6E70-4DCB-8CDA-4CAF650A1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180975</xdr:rowOff>
    </xdr:from>
    <xdr:to>
      <xdr:col>19</xdr:col>
      <xdr:colOff>267120</xdr:colOff>
      <xdr:row>31</xdr:row>
      <xdr:rowOff>119355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878CBC-3B30-46AB-9F94-490680033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6DA4"/>
  </sheetPr>
  <dimension ref="A1:I389"/>
  <sheetViews>
    <sheetView zoomScaleNormal="100" workbookViewId="0">
      <pane ySplit="2" topLeftCell="A3" activePane="bottomLeft" state="frozen"/>
      <selection pane="bottomLeft" activeCell="M19" sqref="M19"/>
    </sheetView>
  </sheetViews>
  <sheetFormatPr defaultColWidth="8.7109375" defaultRowHeight="15" x14ac:dyDescent="0.25"/>
  <cols>
    <col min="1" max="2" width="13" customWidth="1"/>
    <col min="3" max="3" width="20" customWidth="1"/>
    <col min="4" max="4" width="22" customWidth="1"/>
    <col min="5" max="5" width="12" customWidth="1"/>
    <col min="6" max="6" width="36" customWidth="1"/>
    <col min="7" max="7" width="12" customWidth="1"/>
    <col min="8" max="9" width="18" customWidth="1"/>
  </cols>
  <sheetData>
    <row r="1" spans="1:9" ht="37.5" customHeight="1" x14ac:dyDescent="0.25">
      <c r="A1" s="49" t="s">
        <v>234</v>
      </c>
      <c r="B1" s="50"/>
      <c r="C1" s="50"/>
      <c r="D1" s="50"/>
      <c r="E1" s="50"/>
      <c r="F1" s="50"/>
      <c r="G1" s="50"/>
      <c r="H1" s="50"/>
      <c r="I1" s="50"/>
    </row>
    <row r="2" spans="1:9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4">
        <v>331</v>
      </c>
      <c r="H3" s="5">
        <v>58</v>
      </c>
      <c r="I3" s="47">
        <f>G3*H3</f>
        <v>19198</v>
      </c>
    </row>
    <row r="4" spans="1:9" x14ac:dyDescent="0.25">
      <c r="A4" s="6" t="s">
        <v>9</v>
      </c>
      <c r="B4" s="6" t="s">
        <v>10</v>
      </c>
      <c r="C4" s="6" t="s">
        <v>11</v>
      </c>
      <c r="D4" s="6" t="s">
        <v>15</v>
      </c>
      <c r="E4" s="3" t="s">
        <v>13</v>
      </c>
      <c r="F4" s="6" t="s">
        <v>16</v>
      </c>
      <c r="G4" s="7">
        <v>228</v>
      </c>
      <c r="H4" s="8">
        <v>24</v>
      </c>
      <c r="I4" s="48">
        <f t="shared" ref="I4:I66" si="0">G4*H4</f>
        <v>5472</v>
      </c>
    </row>
    <row r="5" spans="1:9" x14ac:dyDescent="0.25">
      <c r="A5" s="2" t="s">
        <v>17</v>
      </c>
      <c r="B5" s="2" t="s">
        <v>10</v>
      </c>
      <c r="C5" s="2" t="s">
        <v>11</v>
      </c>
      <c r="D5" s="2" t="s">
        <v>18</v>
      </c>
      <c r="E5" s="3" t="s">
        <v>13</v>
      </c>
      <c r="F5" s="2" t="s">
        <v>19</v>
      </c>
      <c r="G5" s="4">
        <v>161</v>
      </c>
      <c r="H5" s="5">
        <v>18</v>
      </c>
      <c r="I5" s="47">
        <f t="shared" si="0"/>
        <v>2898</v>
      </c>
    </row>
    <row r="6" spans="1:9" x14ac:dyDescent="0.25">
      <c r="A6" s="6" t="s">
        <v>20</v>
      </c>
      <c r="B6" s="6" t="s">
        <v>10</v>
      </c>
      <c r="C6" s="6" t="s">
        <v>21</v>
      </c>
      <c r="D6" s="6" t="s">
        <v>22</v>
      </c>
      <c r="E6" s="3" t="s">
        <v>13</v>
      </c>
      <c r="F6" s="6" t="s">
        <v>23</v>
      </c>
      <c r="G6" s="7">
        <v>238</v>
      </c>
      <c r="H6" s="8">
        <v>32</v>
      </c>
      <c r="I6" s="48">
        <f t="shared" si="0"/>
        <v>7616</v>
      </c>
    </row>
    <row r="7" spans="1:9" x14ac:dyDescent="0.25">
      <c r="A7" s="2" t="s">
        <v>24</v>
      </c>
      <c r="B7" s="2" t="s">
        <v>10</v>
      </c>
      <c r="C7" s="2" t="s">
        <v>21</v>
      </c>
      <c r="D7" s="2" t="s">
        <v>25</v>
      </c>
      <c r="E7" s="3" t="s">
        <v>13</v>
      </c>
      <c r="F7" s="2" t="s">
        <v>26</v>
      </c>
      <c r="G7" s="4">
        <v>145</v>
      </c>
      <c r="H7" s="5">
        <v>55</v>
      </c>
      <c r="I7" s="47">
        <f t="shared" si="0"/>
        <v>7975</v>
      </c>
    </row>
    <row r="8" spans="1:9" x14ac:dyDescent="0.25">
      <c r="A8" s="6" t="s">
        <v>27</v>
      </c>
      <c r="B8" s="6" t="s">
        <v>10</v>
      </c>
      <c r="C8" s="6" t="s">
        <v>21</v>
      </c>
      <c r="D8" s="6" t="s">
        <v>28</v>
      </c>
      <c r="E8" s="3" t="s">
        <v>13</v>
      </c>
      <c r="F8" s="6" t="s">
        <v>29</v>
      </c>
      <c r="G8" s="7">
        <v>322</v>
      </c>
      <c r="H8" s="8">
        <v>12</v>
      </c>
      <c r="I8" s="48">
        <f t="shared" si="0"/>
        <v>3864</v>
      </c>
    </row>
    <row r="9" spans="1:9" x14ac:dyDescent="0.25">
      <c r="A9" s="2" t="s">
        <v>20</v>
      </c>
      <c r="B9" s="2" t="s">
        <v>10</v>
      </c>
      <c r="C9" s="2" t="s">
        <v>30</v>
      </c>
      <c r="D9" s="2" t="s">
        <v>31</v>
      </c>
      <c r="E9" s="3" t="s">
        <v>13</v>
      </c>
      <c r="F9" s="2" t="s">
        <v>32</v>
      </c>
      <c r="G9" s="4">
        <v>415</v>
      </c>
      <c r="H9" s="5">
        <v>47</v>
      </c>
      <c r="I9" s="47">
        <f t="shared" si="0"/>
        <v>19505</v>
      </c>
    </row>
    <row r="10" spans="1:9" x14ac:dyDescent="0.25">
      <c r="A10" s="6" t="s">
        <v>27</v>
      </c>
      <c r="B10" s="6" t="s">
        <v>10</v>
      </c>
      <c r="C10" s="6" t="s">
        <v>30</v>
      </c>
      <c r="D10" s="6" t="s">
        <v>33</v>
      </c>
      <c r="E10" s="3" t="s">
        <v>13</v>
      </c>
      <c r="F10" s="6" t="s">
        <v>34</v>
      </c>
      <c r="G10" s="7">
        <v>149</v>
      </c>
      <c r="H10" s="8">
        <v>52</v>
      </c>
      <c r="I10" s="48">
        <f t="shared" si="0"/>
        <v>7748</v>
      </c>
    </row>
    <row r="11" spans="1:9" x14ac:dyDescent="0.25">
      <c r="A11" s="2" t="s">
        <v>35</v>
      </c>
      <c r="B11" s="2" t="s">
        <v>10</v>
      </c>
      <c r="C11" s="2" t="s">
        <v>36</v>
      </c>
      <c r="D11" s="2" t="s">
        <v>37</v>
      </c>
      <c r="E11" s="3" t="s">
        <v>13</v>
      </c>
      <c r="F11" s="2" t="s">
        <v>38</v>
      </c>
      <c r="G11" s="4">
        <v>3</v>
      </c>
      <c r="H11" s="5">
        <v>1800</v>
      </c>
      <c r="I11" s="47">
        <f t="shared" si="0"/>
        <v>5400</v>
      </c>
    </row>
    <row r="12" spans="1:9" x14ac:dyDescent="0.25">
      <c r="A12" s="6" t="s">
        <v>24</v>
      </c>
      <c r="B12" s="6" t="s">
        <v>10</v>
      </c>
      <c r="C12" s="6" t="s">
        <v>36</v>
      </c>
      <c r="D12" s="6" t="s">
        <v>39</v>
      </c>
      <c r="E12" s="3" t="s">
        <v>13</v>
      </c>
      <c r="F12" s="6" t="s">
        <v>40</v>
      </c>
      <c r="G12" s="7">
        <v>5</v>
      </c>
      <c r="H12" s="8">
        <v>650</v>
      </c>
      <c r="I12" s="48">
        <f t="shared" si="0"/>
        <v>3250</v>
      </c>
    </row>
    <row r="13" spans="1:9" x14ac:dyDescent="0.25">
      <c r="A13" s="2" t="s">
        <v>20</v>
      </c>
      <c r="B13" s="2" t="s">
        <v>10</v>
      </c>
      <c r="C13" s="2" t="s">
        <v>41</v>
      </c>
      <c r="D13" s="2" t="s">
        <v>42</v>
      </c>
      <c r="E13" s="9" t="s">
        <v>43</v>
      </c>
      <c r="F13" s="2" t="s">
        <v>44</v>
      </c>
      <c r="G13" s="4">
        <v>1</v>
      </c>
      <c r="H13" s="5">
        <v>14381.55</v>
      </c>
      <c r="I13" s="47">
        <f t="shared" si="0"/>
        <v>14381.55</v>
      </c>
    </row>
    <row r="14" spans="1:9" x14ac:dyDescent="0.25">
      <c r="A14" s="6" t="s">
        <v>27</v>
      </c>
      <c r="B14" s="6" t="s">
        <v>10</v>
      </c>
      <c r="C14" s="6" t="s">
        <v>41</v>
      </c>
      <c r="D14" s="6" t="s">
        <v>45</v>
      </c>
      <c r="E14" s="9" t="s">
        <v>43</v>
      </c>
      <c r="F14" s="6" t="s">
        <v>46</v>
      </c>
      <c r="G14" s="7">
        <v>1</v>
      </c>
      <c r="H14" s="8">
        <v>4213.4399999999996</v>
      </c>
      <c r="I14" s="48">
        <f t="shared" si="0"/>
        <v>4213.4399999999996</v>
      </c>
    </row>
    <row r="15" spans="1:9" x14ac:dyDescent="0.25">
      <c r="A15" s="2" t="s">
        <v>24</v>
      </c>
      <c r="B15" s="2" t="s">
        <v>10</v>
      </c>
      <c r="C15" s="2" t="s">
        <v>41</v>
      </c>
      <c r="D15" s="2" t="s">
        <v>47</v>
      </c>
      <c r="E15" s="9" t="s">
        <v>43</v>
      </c>
      <c r="F15" s="2" t="s">
        <v>48</v>
      </c>
      <c r="G15" s="4">
        <v>1</v>
      </c>
      <c r="H15" s="5">
        <v>3790.48</v>
      </c>
      <c r="I15" s="47">
        <f t="shared" si="0"/>
        <v>3790.48</v>
      </c>
    </row>
    <row r="16" spans="1:9" x14ac:dyDescent="0.25">
      <c r="A16" s="6" t="s">
        <v>17</v>
      </c>
      <c r="B16" s="6" t="s">
        <v>10</v>
      </c>
      <c r="C16" s="6" t="s">
        <v>41</v>
      </c>
      <c r="D16" s="6" t="s">
        <v>49</v>
      </c>
      <c r="E16" s="9" t="s">
        <v>43</v>
      </c>
      <c r="F16" s="6" t="s">
        <v>50</v>
      </c>
      <c r="G16" s="7">
        <v>1</v>
      </c>
      <c r="H16" s="8">
        <v>7697.64</v>
      </c>
      <c r="I16" s="48">
        <f t="shared" si="0"/>
        <v>7697.64</v>
      </c>
    </row>
    <row r="17" spans="1:9" x14ac:dyDescent="0.25">
      <c r="A17" s="2" t="s">
        <v>20</v>
      </c>
      <c r="B17" s="2" t="s">
        <v>10</v>
      </c>
      <c r="C17" s="2" t="s">
        <v>51</v>
      </c>
      <c r="D17" s="2" t="s">
        <v>52</v>
      </c>
      <c r="E17" s="9" t="s">
        <v>43</v>
      </c>
      <c r="F17" s="2" t="s">
        <v>53</v>
      </c>
      <c r="G17" s="4">
        <v>1</v>
      </c>
      <c r="H17" s="5">
        <v>11331.86</v>
      </c>
      <c r="I17" s="47">
        <f t="shared" si="0"/>
        <v>11331.86</v>
      </c>
    </row>
    <row r="18" spans="1:9" x14ac:dyDescent="0.25">
      <c r="A18" s="6" t="s">
        <v>27</v>
      </c>
      <c r="B18" s="6" t="s">
        <v>10</v>
      </c>
      <c r="C18" s="6" t="s">
        <v>51</v>
      </c>
      <c r="D18" s="6" t="s">
        <v>54</v>
      </c>
      <c r="E18" s="9" t="s">
        <v>43</v>
      </c>
      <c r="F18" s="6" t="s">
        <v>55</v>
      </c>
      <c r="G18" s="7">
        <v>1</v>
      </c>
      <c r="H18" s="8">
        <v>6474.13</v>
      </c>
      <c r="I18" s="48">
        <f t="shared" si="0"/>
        <v>6474.13</v>
      </c>
    </row>
    <row r="19" spans="1:9" x14ac:dyDescent="0.25">
      <c r="A19" s="2" t="s">
        <v>9</v>
      </c>
      <c r="B19" s="2" t="s">
        <v>10</v>
      </c>
      <c r="C19" s="2" t="s">
        <v>51</v>
      </c>
      <c r="D19" s="2" t="s">
        <v>56</v>
      </c>
      <c r="E19" s="9" t="s">
        <v>43</v>
      </c>
      <c r="F19" s="2" t="s">
        <v>57</v>
      </c>
      <c r="G19" s="4">
        <v>1</v>
      </c>
      <c r="H19" s="5">
        <v>2766.56</v>
      </c>
      <c r="I19" s="47">
        <f t="shared" si="0"/>
        <v>2766.56</v>
      </c>
    </row>
    <row r="20" spans="1:9" x14ac:dyDescent="0.25">
      <c r="A20" s="6" t="s">
        <v>27</v>
      </c>
      <c r="B20" s="6" t="s">
        <v>10</v>
      </c>
      <c r="C20" s="6" t="s">
        <v>51</v>
      </c>
      <c r="D20" s="6" t="s">
        <v>58</v>
      </c>
      <c r="E20" s="9" t="s">
        <v>43</v>
      </c>
      <c r="F20" s="6" t="s">
        <v>59</v>
      </c>
      <c r="G20" s="7">
        <v>1</v>
      </c>
      <c r="H20" s="8">
        <v>6171.38</v>
      </c>
      <c r="I20" s="48">
        <f t="shared" si="0"/>
        <v>6171.38</v>
      </c>
    </row>
    <row r="21" spans="1:9" x14ac:dyDescent="0.25">
      <c r="A21" s="2" t="s">
        <v>27</v>
      </c>
      <c r="B21" s="2" t="s">
        <v>10</v>
      </c>
      <c r="C21" s="2" t="s">
        <v>60</v>
      </c>
      <c r="D21" s="2" t="s">
        <v>61</v>
      </c>
      <c r="E21" s="9" t="s">
        <v>43</v>
      </c>
      <c r="F21" s="2" t="s">
        <v>62</v>
      </c>
      <c r="G21" s="4">
        <v>1</v>
      </c>
      <c r="H21" s="5">
        <v>6571.96</v>
      </c>
      <c r="I21" s="47">
        <f t="shared" si="0"/>
        <v>6571.96</v>
      </c>
    </row>
    <row r="22" spans="1:9" x14ac:dyDescent="0.25">
      <c r="A22" s="6" t="s">
        <v>27</v>
      </c>
      <c r="B22" s="6" t="s">
        <v>10</v>
      </c>
      <c r="C22" s="6" t="s">
        <v>60</v>
      </c>
      <c r="D22" s="6" t="s">
        <v>63</v>
      </c>
      <c r="E22" s="9" t="s">
        <v>43</v>
      </c>
      <c r="F22" s="6" t="s">
        <v>64</v>
      </c>
      <c r="G22" s="7">
        <v>1</v>
      </c>
      <c r="H22" s="8">
        <v>2641.97</v>
      </c>
      <c r="I22" s="48">
        <f t="shared" si="0"/>
        <v>2641.97</v>
      </c>
    </row>
    <row r="23" spans="1:9" x14ac:dyDescent="0.25">
      <c r="A23" s="2" t="s">
        <v>17</v>
      </c>
      <c r="B23" s="2" t="s">
        <v>10</v>
      </c>
      <c r="C23" s="2" t="s">
        <v>60</v>
      </c>
      <c r="D23" s="2" t="s">
        <v>65</v>
      </c>
      <c r="E23" s="9" t="s">
        <v>43</v>
      </c>
      <c r="F23" s="2" t="s">
        <v>66</v>
      </c>
      <c r="G23" s="4">
        <v>1</v>
      </c>
      <c r="H23" s="5">
        <v>1116.6600000000001</v>
      </c>
      <c r="I23" s="47">
        <f t="shared" si="0"/>
        <v>1116.6600000000001</v>
      </c>
    </row>
    <row r="24" spans="1:9" x14ac:dyDescent="0.25">
      <c r="A24" s="6" t="s">
        <v>9</v>
      </c>
      <c r="B24" s="6" t="s">
        <v>10</v>
      </c>
      <c r="C24" s="6" t="s">
        <v>60</v>
      </c>
      <c r="D24" s="6" t="s">
        <v>67</v>
      </c>
      <c r="E24" s="9" t="s">
        <v>43</v>
      </c>
      <c r="F24" s="6" t="s">
        <v>68</v>
      </c>
      <c r="G24" s="7">
        <v>1</v>
      </c>
      <c r="H24" s="8">
        <v>379.62</v>
      </c>
      <c r="I24" s="48">
        <f t="shared" si="0"/>
        <v>379.62</v>
      </c>
    </row>
    <row r="25" spans="1:9" x14ac:dyDescent="0.25">
      <c r="A25" s="2" t="s">
        <v>24</v>
      </c>
      <c r="B25" s="2" t="s">
        <v>10</v>
      </c>
      <c r="C25" s="2" t="s">
        <v>60</v>
      </c>
      <c r="D25" s="2" t="s">
        <v>69</v>
      </c>
      <c r="E25" s="9" t="s">
        <v>43</v>
      </c>
      <c r="F25" s="2" t="s">
        <v>70</v>
      </c>
      <c r="G25" s="4">
        <v>1</v>
      </c>
      <c r="H25" s="5">
        <v>265.27</v>
      </c>
      <c r="I25" s="47">
        <f t="shared" si="0"/>
        <v>265.27</v>
      </c>
    </row>
    <row r="26" spans="1:9" x14ac:dyDescent="0.25">
      <c r="A26" s="6" t="s">
        <v>20</v>
      </c>
      <c r="B26" s="6" t="s">
        <v>10</v>
      </c>
      <c r="C26" s="6" t="s">
        <v>71</v>
      </c>
      <c r="D26" s="6" t="s">
        <v>72</v>
      </c>
      <c r="E26" s="9" t="s">
        <v>43</v>
      </c>
      <c r="F26" s="6" t="s">
        <v>73</v>
      </c>
      <c r="G26" s="7">
        <v>1</v>
      </c>
      <c r="H26" s="8">
        <v>1400.93</v>
      </c>
      <c r="I26" s="48">
        <f t="shared" si="0"/>
        <v>1400.93</v>
      </c>
    </row>
    <row r="27" spans="1:9" x14ac:dyDescent="0.25">
      <c r="A27" s="2" t="s">
        <v>9</v>
      </c>
      <c r="B27" s="2" t="s">
        <v>10</v>
      </c>
      <c r="C27" s="2" t="s">
        <v>71</v>
      </c>
      <c r="D27" s="2" t="s">
        <v>74</v>
      </c>
      <c r="E27" s="9" t="s">
        <v>43</v>
      </c>
      <c r="F27" s="2" t="s">
        <v>75</v>
      </c>
      <c r="G27" s="4">
        <v>1</v>
      </c>
      <c r="H27" s="5">
        <v>499.79</v>
      </c>
      <c r="I27" s="47">
        <f t="shared" si="0"/>
        <v>499.79</v>
      </c>
    </row>
    <row r="28" spans="1:9" x14ac:dyDescent="0.25">
      <c r="A28" s="6" t="s">
        <v>24</v>
      </c>
      <c r="B28" s="6" t="s">
        <v>10</v>
      </c>
      <c r="C28" s="6" t="s">
        <v>71</v>
      </c>
      <c r="D28" s="6" t="s">
        <v>76</v>
      </c>
      <c r="E28" s="9" t="s">
        <v>43</v>
      </c>
      <c r="F28" s="6" t="s">
        <v>77</v>
      </c>
      <c r="G28" s="7">
        <v>1</v>
      </c>
      <c r="H28" s="8">
        <v>314.8</v>
      </c>
      <c r="I28" s="48">
        <f t="shared" si="0"/>
        <v>314.8</v>
      </c>
    </row>
    <row r="29" spans="1:9" x14ac:dyDescent="0.25">
      <c r="A29" s="2" t="s">
        <v>17</v>
      </c>
      <c r="B29" s="2" t="s">
        <v>10</v>
      </c>
      <c r="C29" s="2" t="s">
        <v>71</v>
      </c>
      <c r="D29" s="2" t="s">
        <v>78</v>
      </c>
      <c r="E29" s="9" t="s">
        <v>43</v>
      </c>
      <c r="F29" s="2" t="s">
        <v>79</v>
      </c>
      <c r="G29" s="4">
        <v>1</v>
      </c>
      <c r="H29" s="5">
        <v>740.3</v>
      </c>
      <c r="I29" s="47">
        <f t="shared" si="0"/>
        <v>740.3</v>
      </c>
    </row>
    <row r="30" spans="1:9" x14ac:dyDescent="0.25">
      <c r="A30" s="6" t="s">
        <v>20</v>
      </c>
      <c r="B30" s="6" t="s">
        <v>10</v>
      </c>
      <c r="C30" s="6" t="s">
        <v>80</v>
      </c>
      <c r="D30" s="6" t="s">
        <v>81</v>
      </c>
      <c r="E30" s="9" t="s">
        <v>43</v>
      </c>
      <c r="F30" s="6" t="s">
        <v>82</v>
      </c>
      <c r="G30" s="7">
        <v>1</v>
      </c>
      <c r="H30" s="8">
        <v>923.39</v>
      </c>
      <c r="I30" s="48">
        <f t="shared" si="0"/>
        <v>923.39</v>
      </c>
    </row>
    <row r="31" spans="1:9" x14ac:dyDescent="0.25">
      <c r="A31" s="2" t="s">
        <v>20</v>
      </c>
      <c r="B31" s="2" t="s">
        <v>10</v>
      </c>
      <c r="C31" s="2" t="s">
        <v>80</v>
      </c>
      <c r="D31" s="2" t="s">
        <v>83</v>
      </c>
      <c r="E31" s="9" t="s">
        <v>43</v>
      </c>
      <c r="F31" s="2" t="s">
        <v>84</v>
      </c>
      <c r="G31" s="4">
        <v>1</v>
      </c>
      <c r="H31" s="5">
        <v>649.41</v>
      </c>
      <c r="I31" s="47">
        <f t="shared" si="0"/>
        <v>649.41</v>
      </c>
    </row>
    <row r="32" spans="1:9" x14ac:dyDescent="0.25">
      <c r="A32" s="6" t="s">
        <v>20</v>
      </c>
      <c r="B32" s="6" t="s">
        <v>10</v>
      </c>
      <c r="C32" s="6" t="s">
        <v>85</v>
      </c>
      <c r="D32" s="6" t="s">
        <v>86</v>
      </c>
      <c r="E32" s="9" t="s">
        <v>43</v>
      </c>
      <c r="F32" s="6" t="s">
        <v>87</v>
      </c>
      <c r="G32" s="7">
        <v>1</v>
      </c>
      <c r="H32" s="8">
        <v>5257.72</v>
      </c>
      <c r="I32" s="48">
        <f t="shared" si="0"/>
        <v>5257.72</v>
      </c>
    </row>
    <row r="33" spans="1:9" x14ac:dyDescent="0.25">
      <c r="A33" s="2" t="s">
        <v>9</v>
      </c>
      <c r="B33" s="2" t="s">
        <v>10</v>
      </c>
      <c r="C33" s="2" t="s">
        <v>85</v>
      </c>
      <c r="D33" s="2" t="s">
        <v>88</v>
      </c>
      <c r="E33" s="9" t="s">
        <v>43</v>
      </c>
      <c r="F33" s="2" t="s">
        <v>89</v>
      </c>
      <c r="G33" s="4">
        <v>1</v>
      </c>
      <c r="H33" s="5">
        <v>3152.95</v>
      </c>
      <c r="I33" s="47">
        <f t="shared" si="0"/>
        <v>3152.95</v>
      </c>
    </row>
    <row r="34" spans="1:9" x14ac:dyDescent="0.25">
      <c r="A34" s="6" t="s">
        <v>17</v>
      </c>
      <c r="B34" s="6" t="s">
        <v>10</v>
      </c>
      <c r="C34" s="6" t="s">
        <v>85</v>
      </c>
      <c r="D34" s="6" t="s">
        <v>90</v>
      </c>
      <c r="E34" s="9" t="s">
        <v>43</v>
      </c>
      <c r="F34" s="6" t="s">
        <v>91</v>
      </c>
      <c r="G34" s="7">
        <v>1</v>
      </c>
      <c r="H34" s="8">
        <v>220.59</v>
      </c>
      <c r="I34" s="48">
        <f t="shared" si="0"/>
        <v>220.59</v>
      </c>
    </row>
    <row r="35" spans="1:9" x14ac:dyDescent="0.25">
      <c r="A35" s="2" t="s">
        <v>92</v>
      </c>
      <c r="B35" s="2" t="s">
        <v>93</v>
      </c>
      <c r="C35" s="2" t="s">
        <v>11</v>
      </c>
      <c r="D35" s="2" t="s">
        <v>12</v>
      </c>
      <c r="E35" s="3" t="s">
        <v>13</v>
      </c>
      <c r="F35" s="2" t="s">
        <v>14</v>
      </c>
      <c r="G35" s="4">
        <v>338</v>
      </c>
      <c r="H35" s="5">
        <v>58</v>
      </c>
      <c r="I35" s="47">
        <f t="shared" si="0"/>
        <v>19604</v>
      </c>
    </row>
    <row r="36" spans="1:9" x14ac:dyDescent="0.25">
      <c r="A36" s="6" t="s">
        <v>92</v>
      </c>
      <c r="B36" s="6" t="s">
        <v>93</v>
      </c>
      <c r="C36" s="6" t="s">
        <v>11</v>
      </c>
      <c r="D36" s="6" t="s">
        <v>15</v>
      </c>
      <c r="E36" s="3" t="s">
        <v>13</v>
      </c>
      <c r="F36" s="6" t="s">
        <v>16</v>
      </c>
      <c r="G36" s="7">
        <v>230</v>
      </c>
      <c r="H36" s="8">
        <v>24</v>
      </c>
      <c r="I36" s="48">
        <f t="shared" si="0"/>
        <v>5520</v>
      </c>
    </row>
    <row r="37" spans="1:9" x14ac:dyDescent="0.25">
      <c r="A37" s="2" t="s">
        <v>94</v>
      </c>
      <c r="B37" s="2" t="s">
        <v>93</v>
      </c>
      <c r="C37" s="2" t="s">
        <v>11</v>
      </c>
      <c r="D37" s="2" t="s">
        <v>18</v>
      </c>
      <c r="E37" s="3" t="s">
        <v>13</v>
      </c>
      <c r="F37" s="2" t="s">
        <v>19</v>
      </c>
      <c r="G37" s="4">
        <v>183</v>
      </c>
      <c r="H37" s="5">
        <v>18</v>
      </c>
      <c r="I37" s="47">
        <f t="shared" si="0"/>
        <v>3294</v>
      </c>
    </row>
    <row r="38" spans="1:9" x14ac:dyDescent="0.25">
      <c r="A38" s="6" t="s">
        <v>95</v>
      </c>
      <c r="B38" s="6" t="s">
        <v>93</v>
      </c>
      <c r="C38" s="6" t="s">
        <v>21</v>
      </c>
      <c r="D38" s="6" t="s">
        <v>22</v>
      </c>
      <c r="E38" s="3" t="s">
        <v>13</v>
      </c>
      <c r="F38" s="6" t="s">
        <v>23</v>
      </c>
      <c r="G38" s="7">
        <v>260</v>
      </c>
      <c r="H38" s="8">
        <v>32</v>
      </c>
      <c r="I38" s="48">
        <f t="shared" si="0"/>
        <v>8320</v>
      </c>
    </row>
    <row r="39" spans="1:9" x14ac:dyDescent="0.25">
      <c r="A39" s="2" t="s">
        <v>95</v>
      </c>
      <c r="B39" s="2" t="s">
        <v>93</v>
      </c>
      <c r="C39" s="2" t="s">
        <v>21</v>
      </c>
      <c r="D39" s="2" t="s">
        <v>25</v>
      </c>
      <c r="E39" s="3" t="s">
        <v>13</v>
      </c>
      <c r="F39" s="2" t="s">
        <v>26</v>
      </c>
      <c r="G39" s="4">
        <v>142</v>
      </c>
      <c r="H39" s="5">
        <v>55</v>
      </c>
      <c r="I39" s="47">
        <f t="shared" si="0"/>
        <v>7810</v>
      </c>
    </row>
    <row r="40" spans="1:9" x14ac:dyDescent="0.25">
      <c r="A40" s="6" t="s">
        <v>92</v>
      </c>
      <c r="B40" s="6" t="s">
        <v>93</v>
      </c>
      <c r="C40" s="6" t="s">
        <v>21</v>
      </c>
      <c r="D40" s="6" t="s">
        <v>28</v>
      </c>
      <c r="E40" s="3" t="s">
        <v>13</v>
      </c>
      <c r="F40" s="6" t="s">
        <v>29</v>
      </c>
      <c r="G40" s="7">
        <v>345</v>
      </c>
      <c r="H40" s="8">
        <v>12</v>
      </c>
      <c r="I40" s="48">
        <f t="shared" si="0"/>
        <v>4140</v>
      </c>
    </row>
    <row r="41" spans="1:9" x14ac:dyDescent="0.25">
      <c r="A41" s="2" t="s">
        <v>96</v>
      </c>
      <c r="B41" s="2" t="s">
        <v>93</v>
      </c>
      <c r="C41" s="2" t="s">
        <v>30</v>
      </c>
      <c r="D41" s="2" t="s">
        <v>31</v>
      </c>
      <c r="E41" s="3" t="s">
        <v>13</v>
      </c>
      <c r="F41" s="2" t="s">
        <v>32</v>
      </c>
      <c r="G41" s="4">
        <v>416</v>
      </c>
      <c r="H41" s="5">
        <v>47</v>
      </c>
      <c r="I41" s="47">
        <f t="shared" si="0"/>
        <v>19552</v>
      </c>
    </row>
    <row r="42" spans="1:9" x14ac:dyDescent="0.25">
      <c r="A42" s="6" t="s">
        <v>94</v>
      </c>
      <c r="B42" s="6" t="s">
        <v>93</v>
      </c>
      <c r="C42" s="6" t="s">
        <v>30</v>
      </c>
      <c r="D42" s="6" t="s">
        <v>33</v>
      </c>
      <c r="E42" s="3" t="s">
        <v>13</v>
      </c>
      <c r="F42" s="6" t="s">
        <v>34</v>
      </c>
      <c r="G42" s="7">
        <v>147</v>
      </c>
      <c r="H42" s="8">
        <v>52</v>
      </c>
      <c r="I42" s="48">
        <f t="shared" si="0"/>
        <v>7644</v>
      </c>
    </row>
    <row r="43" spans="1:9" x14ac:dyDescent="0.25">
      <c r="A43" s="2" t="s">
        <v>96</v>
      </c>
      <c r="B43" s="2" t="s">
        <v>93</v>
      </c>
      <c r="C43" s="2" t="s">
        <v>36</v>
      </c>
      <c r="D43" s="2" t="s">
        <v>37</v>
      </c>
      <c r="E43" s="3" t="s">
        <v>13</v>
      </c>
      <c r="F43" s="2" t="s">
        <v>38</v>
      </c>
      <c r="G43" s="4">
        <v>3</v>
      </c>
      <c r="H43" s="5">
        <v>1800</v>
      </c>
      <c r="I43" s="47">
        <f t="shared" si="0"/>
        <v>5400</v>
      </c>
    </row>
    <row r="44" spans="1:9" x14ac:dyDescent="0.25">
      <c r="A44" s="6" t="s">
        <v>96</v>
      </c>
      <c r="B44" s="6" t="s">
        <v>93</v>
      </c>
      <c r="C44" s="6" t="s">
        <v>36</v>
      </c>
      <c r="D44" s="6" t="s">
        <v>39</v>
      </c>
      <c r="E44" s="3" t="s">
        <v>13</v>
      </c>
      <c r="F44" s="6" t="s">
        <v>40</v>
      </c>
      <c r="G44" s="7">
        <v>5</v>
      </c>
      <c r="H44" s="8">
        <v>650</v>
      </c>
      <c r="I44" s="48">
        <f t="shared" si="0"/>
        <v>3250</v>
      </c>
    </row>
    <row r="45" spans="1:9" x14ac:dyDescent="0.25">
      <c r="A45" s="2" t="s">
        <v>95</v>
      </c>
      <c r="B45" s="2" t="s">
        <v>93</v>
      </c>
      <c r="C45" s="2" t="s">
        <v>41</v>
      </c>
      <c r="D45" s="2" t="s">
        <v>42</v>
      </c>
      <c r="E45" s="9" t="s">
        <v>43</v>
      </c>
      <c r="F45" s="2" t="s">
        <v>44</v>
      </c>
      <c r="G45" s="4">
        <v>1</v>
      </c>
      <c r="H45" s="5">
        <v>14666.07</v>
      </c>
      <c r="I45" s="47">
        <f t="shared" si="0"/>
        <v>14666.07</v>
      </c>
    </row>
    <row r="46" spans="1:9" x14ac:dyDescent="0.25">
      <c r="A46" s="6" t="s">
        <v>94</v>
      </c>
      <c r="B46" s="6" t="s">
        <v>93</v>
      </c>
      <c r="C46" s="6" t="s">
        <v>41</v>
      </c>
      <c r="D46" s="6" t="s">
        <v>45</v>
      </c>
      <c r="E46" s="9" t="s">
        <v>43</v>
      </c>
      <c r="F46" s="6" t="s">
        <v>46</v>
      </c>
      <c r="G46" s="7">
        <v>1</v>
      </c>
      <c r="H46" s="8">
        <v>4135.8599999999997</v>
      </c>
      <c r="I46" s="48">
        <f t="shared" si="0"/>
        <v>4135.8599999999997</v>
      </c>
    </row>
    <row r="47" spans="1:9" x14ac:dyDescent="0.25">
      <c r="A47" s="2" t="s">
        <v>92</v>
      </c>
      <c r="B47" s="2" t="s">
        <v>93</v>
      </c>
      <c r="C47" s="2" t="s">
        <v>41</v>
      </c>
      <c r="D47" s="2" t="s">
        <v>47</v>
      </c>
      <c r="E47" s="9" t="s">
        <v>43</v>
      </c>
      <c r="F47" s="2" t="s">
        <v>48</v>
      </c>
      <c r="G47" s="4">
        <v>1</v>
      </c>
      <c r="H47" s="5">
        <v>3823.8</v>
      </c>
      <c r="I47" s="47">
        <f t="shared" si="0"/>
        <v>3823.8</v>
      </c>
    </row>
    <row r="48" spans="1:9" x14ac:dyDescent="0.25">
      <c r="A48" s="6" t="s">
        <v>95</v>
      </c>
      <c r="B48" s="6" t="s">
        <v>93</v>
      </c>
      <c r="C48" s="6" t="s">
        <v>41</v>
      </c>
      <c r="D48" s="6" t="s">
        <v>49</v>
      </c>
      <c r="E48" s="9" t="s">
        <v>43</v>
      </c>
      <c r="F48" s="6" t="s">
        <v>50</v>
      </c>
      <c r="G48" s="7">
        <v>1</v>
      </c>
      <c r="H48" s="8">
        <v>8181.29</v>
      </c>
      <c r="I48" s="48">
        <f t="shared" si="0"/>
        <v>8181.29</v>
      </c>
    </row>
    <row r="49" spans="1:9" x14ac:dyDescent="0.25">
      <c r="A49" s="2" t="s">
        <v>92</v>
      </c>
      <c r="B49" s="2" t="s">
        <v>93</v>
      </c>
      <c r="C49" s="2" t="s">
        <v>51</v>
      </c>
      <c r="D49" s="2" t="s">
        <v>52</v>
      </c>
      <c r="E49" s="9" t="s">
        <v>43</v>
      </c>
      <c r="F49" s="2" t="s">
        <v>53</v>
      </c>
      <c r="G49" s="4">
        <v>1</v>
      </c>
      <c r="H49" s="5">
        <v>11313.79</v>
      </c>
      <c r="I49" s="47">
        <f t="shared" si="0"/>
        <v>11313.79</v>
      </c>
    </row>
    <row r="50" spans="1:9" x14ac:dyDescent="0.25">
      <c r="A50" s="6" t="s">
        <v>97</v>
      </c>
      <c r="B50" s="6" t="s">
        <v>93</v>
      </c>
      <c r="C50" s="6" t="s">
        <v>51</v>
      </c>
      <c r="D50" s="6" t="s">
        <v>54</v>
      </c>
      <c r="E50" s="9" t="s">
        <v>43</v>
      </c>
      <c r="F50" s="6" t="s">
        <v>55</v>
      </c>
      <c r="G50" s="7">
        <v>1</v>
      </c>
      <c r="H50" s="8">
        <v>7097.63</v>
      </c>
      <c r="I50" s="48">
        <f t="shared" si="0"/>
        <v>7097.63</v>
      </c>
    </row>
    <row r="51" spans="1:9" x14ac:dyDescent="0.25">
      <c r="A51" s="2" t="s">
        <v>92</v>
      </c>
      <c r="B51" s="2" t="s">
        <v>93</v>
      </c>
      <c r="C51" s="2" t="s">
        <v>51</v>
      </c>
      <c r="D51" s="2" t="s">
        <v>56</v>
      </c>
      <c r="E51" s="9" t="s">
        <v>43</v>
      </c>
      <c r="F51" s="2" t="s">
        <v>57</v>
      </c>
      <c r="G51" s="4">
        <v>1</v>
      </c>
      <c r="H51" s="5">
        <v>3015.9</v>
      </c>
      <c r="I51" s="47">
        <f t="shared" si="0"/>
        <v>3015.9</v>
      </c>
    </row>
    <row r="52" spans="1:9" x14ac:dyDescent="0.25">
      <c r="A52" s="6" t="s">
        <v>94</v>
      </c>
      <c r="B52" s="6" t="s">
        <v>93</v>
      </c>
      <c r="C52" s="6" t="s">
        <v>51</v>
      </c>
      <c r="D52" s="6" t="s">
        <v>58</v>
      </c>
      <c r="E52" s="9" t="s">
        <v>43</v>
      </c>
      <c r="F52" s="6" t="s">
        <v>59</v>
      </c>
      <c r="G52" s="7">
        <v>1</v>
      </c>
      <c r="H52" s="8">
        <v>6573.11</v>
      </c>
      <c r="I52" s="48">
        <f t="shared" si="0"/>
        <v>6573.11</v>
      </c>
    </row>
    <row r="53" spans="1:9" x14ac:dyDescent="0.25">
      <c r="A53" s="2" t="s">
        <v>97</v>
      </c>
      <c r="B53" s="2" t="s">
        <v>93</v>
      </c>
      <c r="C53" s="2" t="s">
        <v>60</v>
      </c>
      <c r="D53" s="2" t="s">
        <v>61</v>
      </c>
      <c r="E53" s="9" t="s">
        <v>43</v>
      </c>
      <c r="F53" s="2" t="s">
        <v>62</v>
      </c>
      <c r="G53" s="4">
        <v>1</v>
      </c>
      <c r="H53" s="5">
        <v>7169.55</v>
      </c>
      <c r="I53" s="47">
        <f t="shared" si="0"/>
        <v>7169.55</v>
      </c>
    </row>
    <row r="54" spans="1:9" x14ac:dyDescent="0.25">
      <c r="A54" s="6" t="s">
        <v>94</v>
      </c>
      <c r="B54" s="6" t="s">
        <v>93</v>
      </c>
      <c r="C54" s="6" t="s">
        <v>60</v>
      </c>
      <c r="D54" s="6" t="s">
        <v>63</v>
      </c>
      <c r="E54" s="9" t="s">
        <v>43</v>
      </c>
      <c r="F54" s="6" t="s">
        <v>64</v>
      </c>
      <c r="G54" s="7">
        <v>1</v>
      </c>
      <c r="H54" s="8">
        <v>2558.08</v>
      </c>
      <c r="I54" s="48">
        <f t="shared" si="0"/>
        <v>2558.08</v>
      </c>
    </row>
    <row r="55" spans="1:9" x14ac:dyDescent="0.25">
      <c r="A55" s="2" t="s">
        <v>94</v>
      </c>
      <c r="B55" s="2" t="s">
        <v>93</v>
      </c>
      <c r="C55" s="2" t="s">
        <v>60</v>
      </c>
      <c r="D55" s="2" t="s">
        <v>65</v>
      </c>
      <c r="E55" s="9" t="s">
        <v>43</v>
      </c>
      <c r="F55" s="2" t="s">
        <v>66</v>
      </c>
      <c r="G55" s="4">
        <v>1</v>
      </c>
      <c r="H55" s="5">
        <v>1148.1099999999999</v>
      </c>
      <c r="I55" s="47">
        <f t="shared" si="0"/>
        <v>1148.1099999999999</v>
      </c>
    </row>
    <row r="56" spans="1:9" x14ac:dyDescent="0.25">
      <c r="A56" s="6" t="s">
        <v>94</v>
      </c>
      <c r="B56" s="6" t="s">
        <v>93</v>
      </c>
      <c r="C56" s="6" t="s">
        <v>60</v>
      </c>
      <c r="D56" s="6" t="s">
        <v>67</v>
      </c>
      <c r="E56" s="9" t="s">
        <v>43</v>
      </c>
      <c r="F56" s="6" t="s">
        <v>68</v>
      </c>
      <c r="G56" s="7">
        <v>1</v>
      </c>
      <c r="H56" s="8">
        <v>396.3</v>
      </c>
      <c r="I56" s="48">
        <f t="shared" si="0"/>
        <v>396.3</v>
      </c>
    </row>
    <row r="57" spans="1:9" x14ac:dyDescent="0.25">
      <c r="A57" s="2" t="s">
        <v>95</v>
      </c>
      <c r="B57" s="2" t="s">
        <v>93</v>
      </c>
      <c r="C57" s="2" t="s">
        <v>60</v>
      </c>
      <c r="D57" s="2" t="s">
        <v>69</v>
      </c>
      <c r="E57" s="9" t="s">
        <v>43</v>
      </c>
      <c r="F57" s="2" t="s">
        <v>70</v>
      </c>
      <c r="G57" s="4">
        <v>1</v>
      </c>
      <c r="H57" s="5">
        <v>258.99</v>
      </c>
      <c r="I57" s="47">
        <f t="shared" si="0"/>
        <v>258.99</v>
      </c>
    </row>
    <row r="58" spans="1:9" x14ac:dyDescent="0.25">
      <c r="A58" s="6" t="s">
        <v>95</v>
      </c>
      <c r="B58" s="6" t="s">
        <v>93</v>
      </c>
      <c r="C58" s="6" t="s">
        <v>71</v>
      </c>
      <c r="D58" s="6" t="s">
        <v>72</v>
      </c>
      <c r="E58" s="9" t="s">
        <v>43</v>
      </c>
      <c r="F58" s="6" t="s">
        <v>73</v>
      </c>
      <c r="G58" s="7">
        <v>1</v>
      </c>
      <c r="H58" s="8">
        <v>1464.09</v>
      </c>
      <c r="I58" s="48">
        <f t="shared" si="0"/>
        <v>1464.09</v>
      </c>
    </row>
    <row r="59" spans="1:9" x14ac:dyDescent="0.25">
      <c r="A59" s="2" t="s">
        <v>97</v>
      </c>
      <c r="B59" s="2" t="s">
        <v>93</v>
      </c>
      <c r="C59" s="2" t="s">
        <v>71</v>
      </c>
      <c r="D59" s="2" t="s">
        <v>74</v>
      </c>
      <c r="E59" s="9" t="s">
        <v>43</v>
      </c>
      <c r="F59" s="2" t="s">
        <v>75</v>
      </c>
      <c r="G59" s="4">
        <v>1</v>
      </c>
      <c r="H59" s="5">
        <v>503.76</v>
      </c>
      <c r="I59" s="47">
        <f t="shared" si="0"/>
        <v>503.76</v>
      </c>
    </row>
    <row r="60" spans="1:9" x14ac:dyDescent="0.25">
      <c r="A60" s="6" t="s">
        <v>92</v>
      </c>
      <c r="B60" s="6" t="s">
        <v>93</v>
      </c>
      <c r="C60" s="6" t="s">
        <v>71</v>
      </c>
      <c r="D60" s="6" t="s">
        <v>76</v>
      </c>
      <c r="E60" s="9" t="s">
        <v>43</v>
      </c>
      <c r="F60" s="6" t="s">
        <v>77</v>
      </c>
      <c r="G60" s="7">
        <v>1</v>
      </c>
      <c r="H60" s="8">
        <v>312.45999999999998</v>
      </c>
      <c r="I60" s="48">
        <f t="shared" si="0"/>
        <v>312.45999999999998</v>
      </c>
    </row>
    <row r="61" spans="1:9" x14ac:dyDescent="0.25">
      <c r="A61" s="2" t="s">
        <v>97</v>
      </c>
      <c r="B61" s="2" t="s">
        <v>93</v>
      </c>
      <c r="C61" s="2" t="s">
        <v>71</v>
      </c>
      <c r="D61" s="2" t="s">
        <v>78</v>
      </c>
      <c r="E61" s="9" t="s">
        <v>43</v>
      </c>
      <c r="F61" s="2" t="s">
        <v>79</v>
      </c>
      <c r="G61" s="4">
        <v>1</v>
      </c>
      <c r="H61" s="5">
        <v>802.65</v>
      </c>
      <c r="I61" s="47">
        <f t="shared" si="0"/>
        <v>802.65</v>
      </c>
    </row>
    <row r="62" spans="1:9" x14ac:dyDescent="0.25">
      <c r="A62" s="6" t="s">
        <v>95</v>
      </c>
      <c r="B62" s="6" t="s">
        <v>93</v>
      </c>
      <c r="C62" s="6" t="s">
        <v>80</v>
      </c>
      <c r="D62" s="6" t="s">
        <v>81</v>
      </c>
      <c r="E62" s="9" t="s">
        <v>43</v>
      </c>
      <c r="F62" s="6" t="s">
        <v>82</v>
      </c>
      <c r="G62" s="7">
        <v>1</v>
      </c>
      <c r="H62" s="8">
        <v>1001.45</v>
      </c>
      <c r="I62" s="48">
        <f t="shared" si="0"/>
        <v>1001.45</v>
      </c>
    </row>
    <row r="63" spans="1:9" x14ac:dyDescent="0.25">
      <c r="A63" s="2" t="s">
        <v>92</v>
      </c>
      <c r="B63" s="2" t="s">
        <v>93</v>
      </c>
      <c r="C63" s="2" t="s">
        <v>80</v>
      </c>
      <c r="D63" s="2" t="s">
        <v>83</v>
      </c>
      <c r="E63" s="9" t="s">
        <v>43</v>
      </c>
      <c r="F63" s="2" t="s">
        <v>84</v>
      </c>
      <c r="G63" s="4">
        <v>1</v>
      </c>
      <c r="H63" s="5">
        <v>670.21</v>
      </c>
      <c r="I63" s="47">
        <f t="shared" si="0"/>
        <v>670.21</v>
      </c>
    </row>
    <row r="64" spans="1:9" x14ac:dyDescent="0.25">
      <c r="A64" s="6" t="s">
        <v>96</v>
      </c>
      <c r="B64" s="6" t="s">
        <v>93</v>
      </c>
      <c r="C64" s="6" t="s">
        <v>85</v>
      </c>
      <c r="D64" s="6" t="s">
        <v>86</v>
      </c>
      <c r="E64" s="9" t="s">
        <v>43</v>
      </c>
      <c r="F64" s="6" t="s">
        <v>87</v>
      </c>
      <c r="G64" s="7">
        <v>1</v>
      </c>
      <c r="H64" s="8">
        <v>5491.88</v>
      </c>
      <c r="I64" s="48">
        <f t="shared" si="0"/>
        <v>5491.88</v>
      </c>
    </row>
    <row r="65" spans="1:9" x14ac:dyDescent="0.25">
      <c r="A65" s="2" t="s">
        <v>96</v>
      </c>
      <c r="B65" s="2" t="s">
        <v>93</v>
      </c>
      <c r="C65" s="2" t="s">
        <v>85</v>
      </c>
      <c r="D65" s="2" t="s">
        <v>88</v>
      </c>
      <c r="E65" s="9" t="s">
        <v>43</v>
      </c>
      <c r="F65" s="2" t="s">
        <v>89</v>
      </c>
      <c r="G65" s="4">
        <v>1</v>
      </c>
      <c r="H65" s="5">
        <v>3127.91</v>
      </c>
      <c r="I65" s="47">
        <f t="shared" si="0"/>
        <v>3127.91</v>
      </c>
    </row>
    <row r="66" spans="1:9" x14ac:dyDescent="0.25">
      <c r="A66" s="6" t="s">
        <v>96</v>
      </c>
      <c r="B66" s="6" t="s">
        <v>93</v>
      </c>
      <c r="C66" s="6" t="s">
        <v>85</v>
      </c>
      <c r="D66" s="6" t="s">
        <v>90</v>
      </c>
      <c r="E66" s="9" t="s">
        <v>43</v>
      </c>
      <c r="F66" s="6" t="s">
        <v>91</v>
      </c>
      <c r="G66" s="7">
        <v>1</v>
      </c>
      <c r="H66" s="8">
        <v>226.12</v>
      </c>
      <c r="I66" s="48">
        <f t="shared" si="0"/>
        <v>226.12</v>
      </c>
    </row>
    <row r="67" spans="1:9" x14ac:dyDescent="0.25">
      <c r="A67" s="2" t="s">
        <v>98</v>
      </c>
      <c r="B67" s="2" t="s">
        <v>99</v>
      </c>
      <c r="C67" s="2" t="s">
        <v>11</v>
      </c>
      <c r="D67" s="2" t="s">
        <v>12</v>
      </c>
      <c r="E67" s="3" t="s">
        <v>13</v>
      </c>
      <c r="F67" s="2" t="s">
        <v>14</v>
      </c>
      <c r="G67" s="4">
        <v>391</v>
      </c>
      <c r="H67" s="5">
        <v>58</v>
      </c>
      <c r="I67" s="47">
        <f t="shared" ref="I67:I130" si="1">G67*H67</f>
        <v>22678</v>
      </c>
    </row>
    <row r="68" spans="1:9" x14ac:dyDescent="0.25">
      <c r="A68" s="6" t="s">
        <v>100</v>
      </c>
      <c r="B68" s="6" t="s">
        <v>99</v>
      </c>
      <c r="C68" s="6" t="s">
        <v>11</v>
      </c>
      <c r="D68" s="6" t="s">
        <v>15</v>
      </c>
      <c r="E68" s="3" t="s">
        <v>13</v>
      </c>
      <c r="F68" s="6" t="s">
        <v>16</v>
      </c>
      <c r="G68" s="7">
        <v>263</v>
      </c>
      <c r="H68" s="8">
        <v>24</v>
      </c>
      <c r="I68" s="48">
        <f t="shared" si="1"/>
        <v>6312</v>
      </c>
    </row>
    <row r="69" spans="1:9" x14ac:dyDescent="0.25">
      <c r="A69" s="2" t="s">
        <v>98</v>
      </c>
      <c r="B69" s="2" t="s">
        <v>99</v>
      </c>
      <c r="C69" s="2" t="s">
        <v>11</v>
      </c>
      <c r="D69" s="2" t="s">
        <v>18</v>
      </c>
      <c r="E69" s="3" t="s">
        <v>13</v>
      </c>
      <c r="F69" s="2" t="s">
        <v>19</v>
      </c>
      <c r="G69" s="4">
        <v>194</v>
      </c>
      <c r="H69" s="5">
        <v>18</v>
      </c>
      <c r="I69" s="47">
        <f t="shared" si="1"/>
        <v>3492</v>
      </c>
    </row>
    <row r="70" spans="1:9" x14ac:dyDescent="0.25">
      <c r="A70" s="6" t="s">
        <v>101</v>
      </c>
      <c r="B70" s="6" t="s">
        <v>99</v>
      </c>
      <c r="C70" s="6" t="s">
        <v>21</v>
      </c>
      <c r="D70" s="6" t="s">
        <v>22</v>
      </c>
      <c r="E70" s="3" t="s">
        <v>13</v>
      </c>
      <c r="F70" s="6" t="s">
        <v>23</v>
      </c>
      <c r="G70" s="7">
        <v>274</v>
      </c>
      <c r="H70" s="8">
        <v>32</v>
      </c>
      <c r="I70" s="48">
        <f t="shared" si="1"/>
        <v>8768</v>
      </c>
    </row>
    <row r="71" spans="1:9" x14ac:dyDescent="0.25">
      <c r="A71" s="2" t="s">
        <v>102</v>
      </c>
      <c r="B71" s="2" t="s">
        <v>99</v>
      </c>
      <c r="C71" s="2" t="s">
        <v>21</v>
      </c>
      <c r="D71" s="2" t="s">
        <v>25</v>
      </c>
      <c r="E71" s="3" t="s">
        <v>13</v>
      </c>
      <c r="F71" s="2" t="s">
        <v>26</v>
      </c>
      <c r="G71" s="4">
        <v>169</v>
      </c>
      <c r="H71" s="5">
        <v>55</v>
      </c>
      <c r="I71" s="47">
        <f t="shared" si="1"/>
        <v>9295</v>
      </c>
    </row>
    <row r="72" spans="1:9" x14ac:dyDescent="0.25">
      <c r="A72" s="6" t="s">
        <v>101</v>
      </c>
      <c r="B72" s="6" t="s">
        <v>99</v>
      </c>
      <c r="C72" s="6" t="s">
        <v>21</v>
      </c>
      <c r="D72" s="6" t="s">
        <v>28</v>
      </c>
      <c r="E72" s="3" t="s">
        <v>13</v>
      </c>
      <c r="F72" s="6" t="s">
        <v>29</v>
      </c>
      <c r="G72" s="7">
        <v>382</v>
      </c>
      <c r="H72" s="8">
        <v>12</v>
      </c>
      <c r="I72" s="48">
        <f t="shared" si="1"/>
        <v>4584</v>
      </c>
    </row>
    <row r="73" spans="1:9" x14ac:dyDescent="0.25">
      <c r="A73" s="2" t="s">
        <v>103</v>
      </c>
      <c r="B73" s="2" t="s">
        <v>99</v>
      </c>
      <c r="C73" s="2" t="s">
        <v>30</v>
      </c>
      <c r="D73" s="2" t="s">
        <v>31</v>
      </c>
      <c r="E73" s="3" t="s">
        <v>13</v>
      </c>
      <c r="F73" s="2" t="s">
        <v>32</v>
      </c>
      <c r="G73" s="4">
        <v>503</v>
      </c>
      <c r="H73" s="5">
        <v>47</v>
      </c>
      <c r="I73" s="47">
        <f t="shared" si="1"/>
        <v>23641</v>
      </c>
    </row>
    <row r="74" spans="1:9" x14ac:dyDescent="0.25">
      <c r="A74" s="6" t="s">
        <v>103</v>
      </c>
      <c r="B74" s="6" t="s">
        <v>99</v>
      </c>
      <c r="C74" s="6" t="s">
        <v>30</v>
      </c>
      <c r="D74" s="6" t="s">
        <v>33</v>
      </c>
      <c r="E74" s="3" t="s">
        <v>13</v>
      </c>
      <c r="F74" s="6" t="s">
        <v>34</v>
      </c>
      <c r="G74" s="7">
        <v>151</v>
      </c>
      <c r="H74" s="8">
        <v>52</v>
      </c>
      <c r="I74" s="48">
        <f t="shared" si="1"/>
        <v>7852</v>
      </c>
    </row>
    <row r="75" spans="1:9" x14ac:dyDescent="0.25">
      <c r="A75" s="2" t="s">
        <v>103</v>
      </c>
      <c r="B75" s="2" t="s">
        <v>99</v>
      </c>
      <c r="C75" s="2" t="s">
        <v>36</v>
      </c>
      <c r="D75" s="2" t="s">
        <v>37</v>
      </c>
      <c r="E75" s="3" t="s">
        <v>13</v>
      </c>
      <c r="F75" s="2" t="s">
        <v>38</v>
      </c>
      <c r="G75" s="4">
        <v>4</v>
      </c>
      <c r="H75" s="5">
        <v>1800</v>
      </c>
      <c r="I75" s="47">
        <f t="shared" si="1"/>
        <v>7200</v>
      </c>
    </row>
    <row r="76" spans="1:9" x14ac:dyDescent="0.25">
      <c r="A76" s="6" t="s">
        <v>104</v>
      </c>
      <c r="B76" s="6" t="s">
        <v>99</v>
      </c>
      <c r="C76" s="6" t="s">
        <v>36</v>
      </c>
      <c r="D76" s="6" t="s">
        <v>39</v>
      </c>
      <c r="E76" s="3" t="s">
        <v>13</v>
      </c>
      <c r="F76" s="6" t="s">
        <v>40</v>
      </c>
      <c r="G76" s="7">
        <v>6</v>
      </c>
      <c r="H76" s="8">
        <v>650</v>
      </c>
      <c r="I76" s="48">
        <f t="shared" si="1"/>
        <v>3900</v>
      </c>
    </row>
    <row r="77" spans="1:9" x14ac:dyDescent="0.25">
      <c r="A77" s="2" t="s">
        <v>103</v>
      </c>
      <c r="B77" s="2" t="s">
        <v>99</v>
      </c>
      <c r="C77" s="2" t="s">
        <v>41</v>
      </c>
      <c r="D77" s="2" t="s">
        <v>42</v>
      </c>
      <c r="E77" s="9" t="s">
        <v>43</v>
      </c>
      <c r="F77" s="2" t="s">
        <v>44</v>
      </c>
      <c r="G77" s="4">
        <v>1</v>
      </c>
      <c r="H77" s="5">
        <v>16066.22</v>
      </c>
      <c r="I77" s="47">
        <f t="shared" si="1"/>
        <v>16066.22</v>
      </c>
    </row>
    <row r="78" spans="1:9" x14ac:dyDescent="0.25">
      <c r="A78" s="6" t="s">
        <v>103</v>
      </c>
      <c r="B78" s="6" t="s">
        <v>99</v>
      </c>
      <c r="C78" s="6" t="s">
        <v>41</v>
      </c>
      <c r="D78" s="6" t="s">
        <v>45</v>
      </c>
      <c r="E78" s="9" t="s">
        <v>43</v>
      </c>
      <c r="F78" s="6" t="s">
        <v>46</v>
      </c>
      <c r="G78" s="7">
        <v>1</v>
      </c>
      <c r="H78" s="8">
        <v>4654.1400000000003</v>
      </c>
      <c r="I78" s="48">
        <f t="shared" si="1"/>
        <v>4654.1400000000003</v>
      </c>
    </row>
    <row r="79" spans="1:9" x14ac:dyDescent="0.25">
      <c r="A79" s="2" t="s">
        <v>100</v>
      </c>
      <c r="B79" s="2" t="s">
        <v>99</v>
      </c>
      <c r="C79" s="2" t="s">
        <v>41</v>
      </c>
      <c r="D79" s="2" t="s">
        <v>47</v>
      </c>
      <c r="E79" s="9" t="s">
        <v>43</v>
      </c>
      <c r="F79" s="2" t="s">
        <v>48</v>
      </c>
      <c r="G79" s="4">
        <v>1</v>
      </c>
      <c r="H79" s="5">
        <v>4288.67</v>
      </c>
      <c r="I79" s="47">
        <f t="shared" si="1"/>
        <v>4288.67</v>
      </c>
    </row>
    <row r="80" spans="1:9" x14ac:dyDescent="0.25">
      <c r="A80" s="6" t="s">
        <v>98</v>
      </c>
      <c r="B80" s="6" t="s">
        <v>99</v>
      </c>
      <c r="C80" s="6" t="s">
        <v>41</v>
      </c>
      <c r="D80" s="6" t="s">
        <v>49</v>
      </c>
      <c r="E80" s="9" t="s">
        <v>43</v>
      </c>
      <c r="F80" s="6" t="s">
        <v>50</v>
      </c>
      <c r="G80" s="7">
        <v>1</v>
      </c>
      <c r="H80" s="8">
        <v>8865.5499999999993</v>
      </c>
      <c r="I80" s="48">
        <f t="shared" si="1"/>
        <v>8865.5499999999993</v>
      </c>
    </row>
    <row r="81" spans="1:9" x14ac:dyDescent="0.25">
      <c r="A81" s="2" t="s">
        <v>100</v>
      </c>
      <c r="B81" s="2" t="s">
        <v>99</v>
      </c>
      <c r="C81" s="2" t="s">
        <v>51</v>
      </c>
      <c r="D81" s="2" t="s">
        <v>52</v>
      </c>
      <c r="E81" s="9" t="s">
        <v>43</v>
      </c>
      <c r="F81" s="2" t="s">
        <v>53</v>
      </c>
      <c r="G81" s="4">
        <v>1</v>
      </c>
      <c r="H81" s="5">
        <v>12557.41</v>
      </c>
      <c r="I81" s="47">
        <f t="shared" si="1"/>
        <v>12557.41</v>
      </c>
    </row>
    <row r="82" spans="1:9" x14ac:dyDescent="0.25">
      <c r="A82" s="6" t="s">
        <v>104</v>
      </c>
      <c r="B82" s="6" t="s">
        <v>99</v>
      </c>
      <c r="C82" s="6" t="s">
        <v>51</v>
      </c>
      <c r="D82" s="6" t="s">
        <v>54</v>
      </c>
      <c r="E82" s="9" t="s">
        <v>43</v>
      </c>
      <c r="F82" s="6" t="s">
        <v>55</v>
      </c>
      <c r="G82" s="7">
        <v>1</v>
      </c>
      <c r="H82" s="8">
        <v>7667.87</v>
      </c>
      <c r="I82" s="48">
        <f t="shared" si="1"/>
        <v>7667.87</v>
      </c>
    </row>
    <row r="83" spans="1:9" x14ac:dyDescent="0.25">
      <c r="A83" s="2" t="s">
        <v>101</v>
      </c>
      <c r="B83" s="2" t="s">
        <v>99</v>
      </c>
      <c r="C83" s="2" t="s">
        <v>51</v>
      </c>
      <c r="D83" s="2" t="s">
        <v>56</v>
      </c>
      <c r="E83" s="9" t="s">
        <v>43</v>
      </c>
      <c r="F83" s="2" t="s">
        <v>57</v>
      </c>
      <c r="G83" s="4">
        <v>1</v>
      </c>
      <c r="H83" s="5">
        <v>3283.23</v>
      </c>
      <c r="I83" s="47">
        <f t="shared" si="1"/>
        <v>3283.23</v>
      </c>
    </row>
    <row r="84" spans="1:9" x14ac:dyDescent="0.25">
      <c r="A84" s="6" t="s">
        <v>103</v>
      </c>
      <c r="B84" s="6" t="s">
        <v>99</v>
      </c>
      <c r="C84" s="6" t="s">
        <v>51</v>
      </c>
      <c r="D84" s="6" t="s">
        <v>58</v>
      </c>
      <c r="E84" s="9" t="s">
        <v>43</v>
      </c>
      <c r="F84" s="6" t="s">
        <v>59</v>
      </c>
      <c r="G84" s="7">
        <v>1</v>
      </c>
      <c r="H84" s="8">
        <v>6848.42</v>
      </c>
      <c r="I84" s="48">
        <f t="shared" si="1"/>
        <v>6848.42</v>
      </c>
    </row>
    <row r="85" spans="1:9" x14ac:dyDescent="0.25">
      <c r="A85" s="2" t="s">
        <v>103</v>
      </c>
      <c r="B85" s="2" t="s">
        <v>99</v>
      </c>
      <c r="C85" s="2" t="s">
        <v>60</v>
      </c>
      <c r="D85" s="2" t="s">
        <v>61</v>
      </c>
      <c r="E85" s="9" t="s">
        <v>43</v>
      </c>
      <c r="F85" s="2" t="s">
        <v>62</v>
      </c>
      <c r="G85" s="4">
        <v>1</v>
      </c>
      <c r="H85" s="5">
        <v>7887.14</v>
      </c>
      <c r="I85" s="47">
        <f t="shared" si="1"/>
        <v>7887.14</v>
      </c>
    </row>
    <row r="86" spans="1:9" x14ac:dyDescent="0.25">
      <c r="A86" s="6" t="s">
        <v>103</v>
      </c>
      <c r="B86" s="6" t="s">
        <v>99</v>
      </c>
      <c r="C86" s="6" t="s">
        <v>60</v>
      </c>
      <c r="D86" s="6" t="s">
        <v>63</v>
      </c>
      <c r="E86" s="9" t="s">
        <v>43</v>
      </c>
      <c r="F86" s="6" t="s">
        <v>64</v>
      </c>
      <c r="G86" s="7">
        <v>1</v>
      </c>
      <c r="H86" s="8">
        <v>2765.79</v>
      </c>
      <c r="I86" s="48">
        <f t="shared" si="1"/>
        <v>2765.79</v>
      </c>
    </row>
    <row r="87" spans="1:9" x14ac:dyDescent="0.25">
      <c r="A87" s="2" t="s">
        <v>98</v>
      </c>
      <c r="B87" s="2" t="s">
        <v>99</v>
      </c>
      <c r="C87" s="2" t="s">
        <v>60</v>
      </c>
      <c r="D87" s="2" t="s">
        <v>65</v>
      </c>
      <c r="E87" s="9" t="s">
        <v>43</v>
      </c>
      <c r="F87" s="2" t="s">
        <v>66</v>
      </c>
      <c r="G87" s="4">
        <v>1</v>
      </c>
      <c r="H87" s="5">
        <v>1279.5899999999999</v>
      </c>
      <c r="I87" s="47">
        <f t="shared" si="1"/>
        <v>1279.5899999999999</v>
      </c>
    </row>
    <row r="88" spans="1:9" x14ac:dyDescent="0.25">
      <c r="A88" s="6" t="s">
        <v>100</v>
      </c>
      <c r="B88" s="6" t="s">
        <v>99</v>
      </c>
      <c r="C88" s="6" t="s">
        <v>60</v>
      </c>
      <c r="D88" s="6" t="s">
        <v>67</v>
      </c>
      <c r="E88" s="9" t="s">
        <v>43</v>
      </c>
      <c r="F88" s="6" t="s">
        <v>68</v>
      </c>
      <c r="G88" s="7">
        <v>1</v>
      </c>
      <c r="H88" s="8">
        <v>445.52</v>
      </c>
      <c r="I88" s="48">
        <f t="shared" si="1"/>
        <v>445.52</v>
      </c>
    </row>
    <row r="89" spans="1:9" x14ac:dyDescent="0.25">
      <c r="A89" s="2" t="s">
        <v>100</v>
      </c>
      <c r="B89" s="2" t="s">
        <v>99</v>
      </c>
      <c r="C89" s="2" t="s">
        <v>60</v>
      </c>
      <c r="D89" s="2" t="s">
        <v>69</v>
      </c>
      <c r="E89" s="9" t="s">
        <v>43</v>
      </c>
      <c r="F89" s="2" t="s">
        <v>70</v>
      </c>
      <c r="G89" s="4">
        <v>1</v>
      </c>
      <c r="H89" s="5">
        <v>280.44</v>
      </c>
      <c r="I89" s="47">
        <f t="shared" si="1"/>
        <v>280.44</v>
      </c>
    </row>
    <row r="90" spans="1:9" x14ac:dyDescent="0.25">
      <c r="A90" s="6" t="s">
        <v>101</v>
      </c>
      <c r="B90" s="6" t="s">
        <v>99</v>
      </c>
      <c r="C90" s="6" t="s">
        <v>71</v>
      </c>
      <c r="D90" s="6" t="s">
        <v>72</v>
      </c>
      <c r="E90" s="9" t="s">
        <v>43</v>
      </c>
      <c r="F90" s="6" t="s">
        <v>73</v>
      </c>
      <c r="G90" s="7">
        <v>1</v>
      </c>
      <c r="H90" s="8">
        <v>1589.02</v>
      </c>
      <c r="I90" s="48">
        <f t="shared" si="1"/>
        <v>1589.02</v>
      </c>
    </row>
    <row r="91" spans="1:9" x14ac:dyDescent="0.25">
      <c r="A91" s="2" t="s">
        <v>100</v>
      </c>
      <c r="B91" s="2" t="s">
        <v>99</v>
      </c>
      <c r="C91" s="2" t="s">
        <v>71</v>
      </c>
      <c r="D91" s="2" t="s">
        <v>74</v>
      </c>
      <c r="E91" s="9" t="s">
        <v>43</v>
      </c>
      <c r="F91" s="2" t="s">
        <v>75</v>
      </c>
      <c r="G91" s="4">
        <v>1</v>
      </c>
      <c r="H91" s="5">
        <v>568.85</v>
      </c>
      <c r="I91" s="47">
        <f t="shared" si="1"/>
        <v>568.85</v>
      </c>
    </row>
    <row r="92" spans="1:9" x14ac:dyDescent="0.25">
      <c r="A92" s="6" t="s">
        <v>103</v>
      </c>
      <c r="B92" s="6" t="s">
        <v>99</v>
      </c>
      <c r="C92" s="6" t="s">
        <v>71</v>
      </c>
      <c r="D92" s="6" t="s">
        <v>76</v>
      </c>
      <c r="E92" s="9" t="s">
        <v>43</v>
      </c>
      <c r="F92" s="6" t="s">
        <v>77</v>
      </c>
      <c r="G92" s="7">
        <v>1</v>
      </c>
      <c r="H92" s="8">
        <v>334.65</v>
      </c>
      <c r="I92" s="48">
        <f t="shared" si="1"/>
        <v>334.65</v>
      </c>
    </row>
    <row r="93" spans="1:9" x14ac:dyDescent="0.25">
      <c r="A93" s="2" t="s">
        <v>102</v>
      </c>
      <c r="B93" s="2" t="s">
        <v>99</v>
      </c>
      <c r="C93" s="2" t="s">
        <v>71</v>
      </c>
      <c r="D93" s="2" t="s">
        <v>78</v>
      </c>
      <c r="E93" s="9" t="s">
        <v>43</v>
      </c>
      <c r="F93" s="2" t="s">
        <v>79</v>
      </c>
      <c r="G93" s="4">
        <v>1</v>
      </c>
      <c r="H93" s="5">
        <v>865.71</v>
      </c>
      <c r="I93" s="47">
        <f t="shared" si="1"/>
        <v>865.71</v>
      </c>
    </row>
    <row r="94" spans="1:9" x14ac:dyDescent="0.25">
      <c r="A94" s="6" t="s">
        <v>104</v>
      </c>
      <c r="B94" s="6" t="s">
        <v>99</v>
      </c>
      <c r="C94" s="6" t="s">
        <v>80</v>
      </c>
      <c r="D94" s="6" t="s">
        <v>81</v>
      </c>
      <c r="E94" s="9" t="s">
        <v>43</v>
      </c>
      <c r="F94" s="6" t="s">
        <v>82</v>
      </c>
      <c r="G94" s="7">
        <v>1</v>
      </c>
      <c r="H94" s="8">
        <v>1046.51</v>
      </c>
      <c r="I94" s="48">
        <f t="shared" si="1"/>
        <v>1046.51</v>
      </c>
    </row>
    <row r="95" spans="1:9" x14ac:dyDescent="0.25">
      <c r="A95" s="2" t="s">
        <v>104</v>
      </c>
      <c r="B95" s="2" t="s">
        <v>99</v>
      </c>
      <c r="C95" s="2" t="s">
        <v>80</v>
      </c>
      <c r="D95" s="2" t="s">
        <v>83</v>
      </c>
      <c r="E95" s="9" t="s">
        <v>43</v>
      </c>
      <c r="F95" s="2" t="s">
        <v>84</v>
      </c>
      <c r="G95" s="4">
        <v>1</v>
      </c>
      <c r="H95" s="5">
        <v>702.86</v>
      </c>
      <c r="I95" s="47">
        <f t="shared" si="1"/>
        <v>702.86</v>
      </c>
    </row>
    <row r="96" spans="1:9" x14ac:dyDescent="0.25">
      <c r="A96" s="6" t="s">
        <v>100</v>
      </c>
      <c r="B96" s="6" t="s">
        <v>99</v>
      </c>
      <c r="C96" s="6" t="s">
        <v>85</v>
      </c>
      <c r="D96" s="6" t="s">
        <v>86</v>
      </c>
      <c r="E96" s="9" t="s">
        <v>43</v>
      </c>
      <c r="F96" s="6" t="s">
        <v>87</v>
      </c>
      <c r="G96" s="7">
        <v>1</v>
      </c>
      <c r="H96" s="8">
        <v>6027.24</v>
      </c>
      <c r="I96" s="48">
        <f t="shared" si="1"/>
        <v>6027.24</v>
      </c>
    </row>
    <row r="97" spans="1:9" x14ac:dyDescent="0.25">
      <c r="A97" s="2" t="s">
        <v>98</v>
      </c>
      <c r="B97" s="2" t="s">
        <v>99</v>
      </c>
      <c r="C97" s="2" t="s">
        <v>85</v>
      </c>
      <c r="D97" s="2" t="s">
        <v>88</v>
      </c>
      <c r="E97" s="9" t="s">
        <v>43</v>
      </c>
      <c r="F97" s="2" t="s">
        <v>89</v>
      </c>
      <c r="G97" s="4">
        <v>1</v>
      </c>
      <c r="H97" s="5">
        <v>3644.31</v>
      </c>
      <c r="I97" s="47">
        <f t="shared" si="1"/>
        <v>3644.31</v>
      </c>
    </row>
    <row r="98" spans="1:9" x14ac:dyDescent="0.25">
      <c r="A98" s="6" t="s">
        <v>101</v>
      </c>
      <c r="B98" s="6" t="s">
        <v>99</v>
      </c>
      <c r="C98" s="6" t="s">
        <v>85</v>
      </c>
      <c r="D98" s="6" t="s">
        <v>90</v>
      </c>
      <c r="E98" s="9" t="s">
        <v>43</v>
      </c>
      <c r="F98" s="6" t="s">
        <v>91</v>
      </c>
      <c r="G98" s="7">
        <v>1</v>
      </c>
      <c r="H98" s="8">
        <v>252.22</v>
      </c>
      <c r="I98" s="48">
        <f t="shared" si="1"/>
        <v>252.22</v>
      </c>
    </row>
    <row r="99" spans="1:9" x14ac:dyDescent="0.25">
      <c r="A99" s="2" t="s">
        <v>105</v>
      </c>
      <c r="B99" s="2" t="s">
        <v>106</v>
      </c>
      <c r="C99" s="2" t="s">
        <v>11</v>
      </c>
      <c r="D99" s="2" t="s">
        <v>12</v>
      </c>
      <c r="E99" s="3" t="s">
        <v>13</v>
      </c>
      <c r="F99" s="2" t="s">
        <v>14</v>
      </c>
      <c r="G99" s="4">
        <v>449</v>
      </c>
      <c r="H99" s="5">
        <v>58</v>
      </c>
      <c r="I99" s="47">
        <f t="shared" si="1"/>
        <v>26042</v>
      </c>
    </row>
    <row r="100" spans="1:9" x14ac:dyDescent="0.25">
      <c r="A100" s="6" t="s">
        <v>107</v>
      </c>
      <c r="B100" s="6" t="s">
        <v>106</v>
      </c>
      <c r="C100" s="6" t="s">
        <v>11</v>
      </c>
      <c r="D100" s="6" t="s">
        <v>15</v>
      </c>
      <c r="E100" s="3" t="s">
        <v>13</v>
      </c>
      <c r="F100" s="6" t="s">
        <v>16</v>
      </c>
      <c r="G100" s="7">
        <v>291</v>
      </c>
      <c r="H100" s="8">
        <v>24</v>
      </c>
      <c r="I100" s="48">
        <f t="shared" si="1"/>
        <v>6984</v>
      </c>
    </row>
    <row r="101" spans="1:9" x14ac:dyDescent="0.25">
      <c r="A101" s="2" t="s">
        <v>108</v>
      </c>
      <c r="B101" s="2" t="s">
        <v>106</v>
      </c>
      <c r="C101" s="2" t="s">
        <v>11</v>
      </c>
      <c r="D101" s="2" t="s">
        <v>18</v>
      </c>
      <c r="E101" s="3" t="s">
        <v>13</v>
      </c>
      <c r="F101" s="2" t="s">
        <v>19</v>
      </c>
      <c r="G101" s="4">
        <v>207</v>
      </c>
      <c r="H101" s="5">
        <v>18</v>
      </c>
      <c r="I101" s="47">
        <f t="shared" si="1"/>
        <v>3726</v>
      </c>
    </row>
    <row r="102" spans="1:9" x14ac:dyDescent="0.25">
      <c r="A102" s="6" t="s">
        <v>108</v>
      </c>
      <c r="B102" s="6" t="s">
        <v>106</v>
      </c>
      <c r="C102" s="6" t="s">
        <v>21</v>
      </c>
      <c r="D102" s="6" t="s">
        <v>22</v>
      </c>
      <c r="E102" s="3" t="s">
        <v>13</v>
      </c>
      <c r="F102" s="6" t="s">
        <v>23</v>
      </c>
      <c r="G102" s="7">
        <v>312</v>
      </c>
      <c r="H102" s="8">
        <v>32</v>
      </c>
      <c r="I102" s="48">
        <f t="shared" si="1"/>
        <v>9984</v>
      </c>
    </row>
    <row r="103" spans="1:9" x14ac:dyDescent="0.25">
      <c r="A103" s="2" t="s">
        <v>108</v>
      </c>
      <c r="B103" s="2" t="s">
        <v>106</v>
      </c>
      <c r="C103" s="2" t="s">
        <v>21</v>
      </c>
      <c r="D103" s="2" t="s">
        <v>25</v>
      </c>
      <c r="E103" s="3" t="s">
        <v>13</v>
      </c>
      <c r="F103" s="2" t="s">
        <v>26</v>
      </c>
      <c r="G103" s="4">
        <v>188</v>
      </c>
      <c r="H103" s="5">
        <v>55</v>
      </c>
      <c r="I103" s="47">
        <f t="shared" si="1"/>
        <v>10340</v>
      </c>
    </row>
    <row r="104" spans="1:9" x14ac:dyDescent="0.25">
      <c r="A104" s="6" t="s">
        <v>109</v>
      </c>
      <c r="B104" s="6" t="s">
        <v>106</v>
      </c>
      <c r="C104" s="6" t="s">
        <v>21</v>
      </c>
      <c r="D104" s="6" t="s">
        <v>28</v>
      </c>
      <c r="E104" s="3" t="s">
        <v>13</v>
      </c>
      <c r="F104" s="6" t="s">
        <v>29</v>
      </c>
      <c r="G104" s="7">
        <v>417</v>
      </c>
      <c r="H104" s="8">
        <v>12</v>
      </c>
      <c r="I104" s="48">
        <f t="shared" si="1"/>
        <v>5004</v>
      </c>
    </row>
    <row r="105" spans="1:9" x14ac:dyDescent="0.25">
      <c r="A105" s="2" t="s">
        <v>110</v>
      </c>
      <c r="B105" s="2" t="s">
        <v>106</v>
      </c>
      <c r="C105" s="2" t="s">
        <v>30</v>
      </c>
      <c r="D105" s="2" t="s">
        <v>31</v>
      </c>
      <c r="E105" s="3" t="s">
        <v>13</v>
      </c>
      <c r="F105" s="2" t="s">
        <v>32</v>
      </c>
      <c r="G105" s="4">
        <v>540</v>
      </c>
      <c r="H105" s="5">
        <v>47</v>
      </c>
      <c r="I105" s="47">
        <f t="shared" si="1"/>
        <v>25380</v>
      </c>
    </row>
    <row r="106" spans="1:9" x14ac:dyDescent="0.25">
      <c r="A106" s="6" t="s">
        <v>110</v>
      </c>
      <c r="B106" s="6" t="s">
        <v>106</v>
      </c>
      <c r="C106" s="6" t="s">
        <v>30</v>
      </c>
      <c r="D106" s="6" t="s">
        <v>33</v>
      </c>
      <c r="E106" s="3" t="s">
        <v>13</v>
      </c>
      <c r="F106" s="6" t="s">
        <v>34</v>
      </c>
      <c r="G106" s="7">
        <v>189</v>
      </c>
      <c r="H106" s="8">
        <v>52</v>
      </c>
      <c r="I106" s="48">
        <f t="shared" si="1"/>
        <v>9828</v>
      </c>
    </row>
    <row r="107" spans="1:9" x14ac:dyDescent="0.25">
      <c r="A107" s="2" t="s">
        <v>110</v>
      </c>
      <c r="B107" s="2" t="s">
        <v>106</v>
      </c>
      <c r="C107" s="2" t="s">
        <v>36</v>
      </c>
      <c r="D107" s="2" t="s">
        <v>37</v>
      </c>
      <c r="E107" s="3" t="s">
        <v>13</v>
      </c>
      <c r="F107" s="2" t="s">
        <v>38</v>
      </c>
      <c r="G107" s="4">
        <v>4</v>
      </c>
      <c r="H107" s="5">
        <v>1800</v>
      </c>
      <c r="I107" s="47">
        <f t="shared" si="1"/>
        <v>7200</v>
      </c>
    </row>
    <row r="108" spans="1:9" x14ac:dyDescent="0.25">
      <c r="A108" s="6" t="s">
        <v>105</v>
      </c>
      <c r="B108" s="6" t="s">
        <v>106</v>
      </c>
      <c r="C108" s="6" t="s">
        <v>36</v>
      </c>
      <c r="D108" s="6" t="s">
        <v>39</v>
      </c>
      <c r="E108" s="3" t="s">
        <v>13</v>
      </c>
      <c r="F108" s="6" t="s">
        <v>40</v>
      </c>
      <c r="G108" s="7">
        <v>6</v>
      </c>
      <c r="H108" s="8">
        <v>650</v>
      </c>
      <c r="I108" s="48">
        <f t="shared" si="1"/>
        <v>3900</v>
      </c>
    </row>
    <row r="109" spans="1:9" x14ac:dyDescent="0.25">
      <c r="A109" s="2" t="s">
        <v>107</v>
      </c>
      <c r="B109" s="2" t="s">
        <v>106</v>
      </c>
      <c r="C109" s="2" t="s">
        <v>41</v>
      </c>
      <c r="D109" s="2" t="s">
        <v>42</v>
      </c>
      <c r="E109" s="9" t="s">
        <v>43</v>
      </c>
      <c r="F109" s="2" t="s">
        <v>44</v>
      </c>
      <c r="G109" s="4">
        <v>1</v>
      </c>
      <c r="H109" s="5">
        <v>19093.03</v>
      </c>
      <c r="I109" s="47">
        <f t="shared" si="1"/>
        <v>19093.03</v>
      </c>
    </row>
    <row r="110" spans="1:9" x14ac:dyDescent="0.25">
      <c r="A110" s="6" t="s">
        <v>108</v>
      </c>
      <c r="B110" s="6" t="s">
        <v>106</v>
      </c>
      <c r="C110" s="6" t="s">
        <v>41</v>
      </c>
      <c r="D110" s="6" t="s">
        <v>45</v>
      </c>
      <c r="E110" s="9" t="s">
        <v>43</v>
      </c>
      <c r="F110" s="6" t="s">
        <v>46</v>
      </c>
      <c r="G110" s="7">
        <v>1</v>
      </c>
      <c r="H110" s="8">
        <v>5386.5</v>
      </c>
      <c r="I110" s="48">
        <f t="shared" si="1"/>
        <v>5386.5</v>
      </c>
    </row>
    <row r="111" spans="1:9" x14ac:dyDescent="0.25">
      <c r="A111" s="2" t="s">
        <v>109</v>
      </c>
      <c r="B111" s="2" t="s">
        <v>106</v>
      </c>
      <c r="C111" s="2" t="s">
        <v>41</v>
      </c>
      <c r="D111" s="2" t="s">
        <v>47</v>
      </c>
      <c r="E111" s="9" t="s">
        <v>43</v>
      </c>
      <c r="F111" s="2" t="s">
        <v>48</v>
      </c>
      <c r="G111" s="4">
        <v>1</v>
      </c>
      <c r="H111" s="5">
        <v>4828.7700000000004</v>
      </c>
      <c r="I111" s="47">
        <f t="shared" si="1"/>
        <v>4828.7700000000004</v>
      </c>
    </row>
    <row r="112" spans="1:9" x14ac:dyDescent="0.25">
      <c r="A112" s="6" t="s">
        <v>111</v>
      </c>
      <c r="B112" s="6" t="s">
        <v>106</v>
      </c>
      <c r="C112" s="6" t="s">
        <v>41</v>
      </c>
      <c r="D112" s="6" t="s">
        <v>49</v>
      </c>
      <c r="E112" s="9" t="s">
        <v>43</v>
      </c>
      <c r="F112" s="6" t="s">
        <v>50</v>
      </c>
      <c r="G112" s="7">
        <v>1</v>
      </c>
      <c r="H112" s="8">
        <v>9797.1200000000008</v>
      </c>
      <c r="I112" s="48">
        <f t="shared" si="1"/>
        <v>9797.1200000000008</v>
      </c>
    </row>
    <row r="113" spans="1:9" x14ac:dyDescent="0.25">
      <c r="A113" s="2" t="s">
        <v>109</v>
      </c>
      <c r="B113" s="2" t="s">
        <v>106</v>
      </c>
      <c r="C113" s="2" t="s">
        <v>51</v>
      </c>
      <c r="D113" s="2" t="s">
        <v>52</v>
      </c>
      <c r="E113" s="9" t="s">
        <v>43</v>
      </c>
      <c r="F113" s="2" t="s">
        <v>53</v>
      </c>
      <c r="G113" s="4">
        <v>1</v>
      </c>
      <c r="H113" s="5">
        <v>14084.64</v>
      </c>
      <c r="I113" s="47">
        <f t="shared" si="1"/>
        <v>14084.64</v>
      </c>
    </row>
    <row r="114" spans="1:9" x14ac:dyDescent="0.25">
      <c r="A114" s="6" t="s">
        <v>105</v>
      </c>
      <c r="B114" s="6" t="s">
        <v>106</v>
      </c>
      <c r="C114" s="6" t="s">
        <v>51</v>
      </c>
      <c r="D114" s="6" t="s">
        <v>54</v>
      </c>
      <c r="E114" s="9" t="s">
        <v>43</v>
      </c>
      <c r="F114" s="6" t="s">
        <v>55</v>
      </c>
      <c r="G114" s="7">
        <v>1</v>
      </c>
      <c r="H114" s="8">
        <v>8241.9500000000007</v>
      </c>
      <c r="I114" s="48">
        <f t="shared" si="1"/>
        <v>8241.9500000000007</v>
      </c>
    </row>
    <row r="115" spans="1:9" x14ac:dyDescent="0.25">
      <c r="A115" s="2" t="s">
        <v>109</v>
      </c>
      <c r="B115" s="2" t="s">
        <v>106</v>
      </c>
      <c r="C115" s="2" t="s">
        <v>51</v>
      </c>
      <c r="D115" s="2" t="s">
        <v>56</v>
      </c>
      <c r="E115" s="9" t="s">
        <v>43</v>
      </c>
      <c r="F115" s="2" t="s">
        <v>57</v>
      </c>
      <c r="G115" s="4">
        <v>1</v>
      </c>
      <c r="H115" s="5">
        <v>3493</v>
      </c>
      <c r="I115" s="47">
        <f t="shared" si="1"/>
        <v>3493</v>
      </c>
    </row>
    <row r="116" spans="1:9" x14ac:dyDescent="0.25">
      <c r="A116" s="6" t="s">
        <v>107</v>
      </c>
      <c r="B116" s="6" t="s">
        <v>106</v>
      </c>
      <c r="C116" s="6" t="s">
        <v>51</v>
      </c>
      <c r="D116" s="6" t="s">
        <v>58</v>
      </c>
      <c r="E116" s="9" t="s">
        <v>43</v>
      </c>
      <c r="F116" s="6" t="s">
        <v>59</v>
      </c>
      <c r="G116" s="7">
        <v>1</v>
      </c>
      <c r="H116" s="8">
        <v>8050.7</v>
      </c>
      <c r="I116" s="48">
        <f t="shared" si="1"/>
        <v>8050.7</v>
      </c>
    </row>
    <row r="117" spans="1:9" x14ac:dyDescent="0.25">
      <c r="A117" s="2" t="s">
        <v>111</v>
      </c>
      <c r="B117" s="2" t="s">
        <v>106</v>
      </c>
      <c r="C117" s="2" t="s">
        <v>60</v>
      </c>
      <c r="D117" s="2" t="s">
        <v>61</v>
      </c>
      <c r="E117" s="9" t="s">
        <v>43</v>
      </c>
      <c r="F117" s="2" t="s">
        <v>62</v>
      </c>
      <c r="G117" s="4">
        <v>1</v>
      </c>
      <c r="H117" s="5">
        <v>8637.25</v>
      </c>
      <c r="I117" s="47">
        <f t="shared" si="1"/>
        <v>8637.25</v>
      </c>
    </row>
    <row r="118" spans="1:9" x14ac:dyDescent="0.25">
      <c r="A118" s="6" t="s">
        <v>107</v>
      </c>
      <c r="B118" s="6" t="s">
        <v>106</v>
      </c>
      <c r="C118" s="6" t="s">
        <v>60</v>
      </c>
      <c r="D118" s="6" t="s">
        <v>63</v>
      </c>
      <c r="E118" s="9" t="s">
        <v>43</v>
      </c>
      <c r="F118" s="6" t="s">
        <v>64</v>
      </c>
      <c r="G118" s="7">
        <v>1</v>
      </c>
      <c r="H118" s="8">
        <v>3215.84</v>
      </c>
      <c r="I118" s="48">
        <f t="shared" si="1"/>
        <v>3215.84</v>
      </c>
    </row>
    <row r="119" spans="1:9" x14ac:dyDescent="0.25">
      <c r="A119" s="2" t="s">
        <v>105</v>
      </c>
      <c r="B119" s="2" t="s">
        <v>106</v>
      </c>
      <c r="C119" s="2" t="s">
        <v>60</v>
      </c>
      <c r="D119" s="2" t="s">
        <v>65</v>
      </c>
      <c r="E119" s="9" t="s">
        <v>43</v>
      </c>
      <c r="F119" s="2" t="s">
        <v>66</v>
      </c>
      <c r="G119" s="4">
        <v>1</v>
      </c>
      <c r="H119" s="5">
        <v>1364.03</v>
      </c>
      <c r="I119" s="47">
        <f t="shared" si="1"/>
        <v>1364.03</v>
      </c>
    </row>
    <row r="120" spans="1:9" x14ac:dyDescent="0.25">
      <c r="A120" s="6" t="s">
        <v>111</v>
      </c>
      <c r="B120" s="6" t="s">
        <v>106</v>
      </c>
      <c r="C120" s="6" t="s">
        <v>60</v>
      </c>
      <c r="D120" s="6" t="s">
        <v>67</v>
      </c>
      <c r="E120" s="9" t="s">
        <v>43</v>
      </c>
      <c r="F120" s="6" t="s">
        <v>68</v>
      </c>
      <c r="G120" s="7">
        <v>1</v>
      </c>
      <c r="H120" s="8">
        <v>468.77</v>
      </c>
      <c r="I120" s="48">
        <f t="shared" si="1"/>
        <v>468.77</v>
      </c>
    </row>
    <row r="121" spans="1:9" x14ac:dyDescent="0.25">
      <c r="A121" s="2" t="s">
        <v>107</v>
      </c>
      <c r="B121" s="2" t="s">
        <v>106</v>
      </c>
      <c r="C121" s="2" t="s">
        <v>60</v>
      </c>
      <c r="D121" s="2" t="s">
        <v>69</v>
      </c>
      <c r="E121" s="9" t="s">
        <v>43</v>
      </c>
      <c r="F121" s="2" t="s">
        <v>70</v>
      </c>
      <c r="G121" s="4">
        <v>1</v>
      </c>
      <c r="H121" s="5">
        <v>321.86</v>
      </c>
      <c r="I121" s="47">
        <f t="shared" si="1"/>
        <v>321.86</v>
      </c>
    </row>
    <row r="122" spans="1:9" x14ac:dyDescent="0.25">
      <c r="A122" s="6" t="s">
        <v>111</v>
      </c>
      <c r="B122" s="6" t="s">
        <v>106</v>
      </c>
      <c r="C122" s="6" t="s">
        <v>71</v>
      </c>
      <c r="D122" s="6" t="s">
        <v>72</v>
      </c>
      <c r="E122" s="9" t="s">
        <v>43</v>
      </c>
      <c r="F122" s="6" t="s">
        <v>73</v>
      </c>
      <c r="G122" s="7">
        <v>1</v>
      </c>
      <c r="H122" s="8">
        <v>1783.1</v>
      </c>
      <c r="I122" s="48">
        <f t="shared" si="1"/>
        <v>1783.1</v>
      </c>
    </row>
    <row r="123" spans="1:9" x14ac:dyDescent="0.25">
      <c r="A123" s="2" t="s">
        <v>107</v>
      </c>
      <c r="B123" s="2" t="s">
        <v>106</v>
      </c>
      <c r="C123" s="2" t="s">
        <v>71</v>
      </c>
      <c r="D123" s="2" t="s">
        <v>74</v>
      </c>
      <c r="E123" s="9" t="s">
        <v>43</v>
      </c>
      <c r="F123" s="2" t="s">
        <v>75</v>
      </c>
      <c r="G123" s="4">
        <v>1</v>
      </c>
      <c r="H123" s="5">
        <v>623.61</v>
      </c>
      <c r="I123" s="47">
        <f t="shared" si="1"/>
        <v>623.61</v>
      </c>
    </row>
    <row r="124" spans="1:9" x14ac:dyDescent="0.25">
      <c r="A124" s="6" t="s">
        <v>111</v>
      </c>
      <c r="B124" s="6" t="s">
        <v>106</v>
      </c>
      <c r="C124" s="6" t="s">
        <v>71</v>
      </c>
      <c r="D124" s="6" t="s">
        <v>76</v>
      </c>
      <c r="E124" s="9" t="s">
        <v>43</v>
      </c>
      <c r="F124" s="6" t="s">
        <v>77</v>
      </c>
      <c r="G124" s="7">
        <v>1</v>
      </c>
      <c r="H124" s="8">
        <v>391.83</v>
      </c>
      <c r="I124" s="48">
        <f t="shared" si="1"/>
        <v>391.83</v>
      </c>
    </row>
    <row r="125" spans="1:9" x14ac:dyDescent="0.25">
      <c r="A125" s="2" t="s">
        <v>110</v>
      </c>
      <c r="B125" s="2" t="s">
        <v>106</v>
      </c>
      <c r="C125" s="2" t="s">
        <v>71</v>
      </c>
      <c r="D125" s="2" t="s">
        <v>78</v>
      </c>
      <c r="E125" s="9" t="s">
        <v>43</v>
      </c>
      <c r="F125" s="2" t="s">
        <v>79</v>
      </c>
      <c r="G125" s="4">
        <v>1</v>
      </c>
      <c r="H125" s="5">
        <v>962.54</v>
      </c>
      <c r="I125" s="47">
        <f t="shared" si="1"/>
        <v>962.54</v>
      </c>
    </row>
    <row r="126" spans="1:9" x14ac:dyDescent="0.25">
      <c r="A126" s="6" t="s">
        <v>111</v>
      </c>
      <c r="B126" s="6" t="s">
        <v>106</v>
      </c>
      <c r="C126" s="6" t="s">
        <v>80</v>
      </c>
      <c r="D126" s="6" t="s">
        <v>81</v>
      </c>
      <c r="E126" s="9" t="s">
        <v>43</v>
      </c>
      <c r="F126" s="6" t="s">
        <v>82</v>
      </c>
      <c r="G126" s="7">
        <v>1</v>
      </c>
      <c r="H126" s="8">
        <v>1203.04</v>
      </c>
      <c r="I126" s="48">
        <f t="shared" si="1"/>
        <v>1203.04</v>
      </c>
    </row>
    <row r="127" spans="1:9" x14ac:dyDescent="0.25">
      <c r="A127" s="2" t="s">
        <v>110</v>
      </c>
      <c r="B127" s="2" t="s">
        <v>106</v>
      </c>
      <c r="C127" s="2" t="s">
        <v>80</v>
      </c>
      <c r="D127" s="2" t="s">
        <v>83</v>
      </c>
      <c r="E127" s="9" t="s">
        <v>43</v>
      </c>
      <c r="F127" s="2" t="s">
        <v>84</v>
      </c>
      <c r="G127" s="4">
        <v>1</v>
      </c>
      <c r="H127" s="5">
        <v>801.48</v>
      </c>
      <c r="I127" s="47">
        <f t="shared" si="1"/>
        <v>801.48</v>
      </c>
    </row>
    <row r="128" spans="1:9" x14ac:dyDescent="0.25">
      <c r="A128" s="6" t="s">
        <v>111</v>
      </c>
      <c r="B128" s="6" t="s">
        <v>106</v>
      </c>
      <c r="C128" s="6" t="s">
        <v>85</v>
      </c>
      <c r="D128" s="6" t="s">
        <v>86</v>
      </c>
      <c r="E128" s="9" t="s">
        <v>43</v>
      </c>
      <c r="F128" s="6" t="s">
        <v>87</v>
      </c>
      <c r="G128" s="7">
        <v>1</v>
      </c>
      <c r="H128" s="8">
        <v>6707.38</v>
      </c>
      <c r="I128" s="48">
        <f t="shared" si="1"/>
        <v>6707.38</v>
      </c>
    </row>
    <row r="129" spans="1:9" x14ac:dyDescent="0.25">
      <c r="A129" s="2" t="s">
        <v>107</v>
      </c>
      <c r="B129" s="2" t="s">
        <v>106</v>
      </c>
      <c r="C129" s="2" t="s">
        <v>85</v>
      </c>
      <c r="D129" s="2" t="s">
        <v>88</v>
      </c>
      <c r="E129" s="9" t="s">
        <v>43</v>
      </c>
      <c r="F129" s="2" t="s">
        <v>89</v>
      </c>
      <c r="G129" s="4">
        <v>1</v>
      </c>
      <c r="H129" s="5">
        <v>3766.51</v>
      </c>
      <c r="I129" s="47">
        <f t="shared" si="1"/>
        <v>3766.51</v>
      </c>
    </row>
    <row r="130" spans="1:9" x14ac:dyDescent="0.25">
      <c r="A130" s="6" t="s">
        <v>108</v>
      </c>
      <c r="B130" s="6" t="s">
        <v>106</v>
      </c>
      <c r="C130" s="6" t="s">
        <v>85</v>
      </c>
      <c r="D130" s="6" t="s">
        <v>90</v>
      </c>
      <c r="E130" s="9" t="s">
        <v>43</v>
      </c>
      <c r="F130" s="6" t="s">
        <v>91</v>
      </c>
      <c r="G130" s="7">
        <v>1</v>
      </c>
      <c r="H130" s="8">
        <v>285.24</v>
      </c>
      <c r="I130" s="48">
        <f t="shared" si="1"/>
        <v>285.24</v>
      </c>
    </row>
    <row r="131" spans="1:9" x14ac:dyDescent="0.25">
      <c r="A131" s="2" t="s">
        <v>112</v>
      </c>
      <c r="B131" s="2" t="s">
        <v>113</v>
      </c>
      <c r="C131" s="2" t="s">
        <v>11</v>
      </c>
      <c r="D131" s="2" t="s">
        <v>12</v>
      </c>
      <c r="E131" s="3" t="s">
        <v>13</v>
      </c>
      <c r="F131" s="2" t="s">
        <v>14</v>
      </c>
      <c r="G131" s="4">
        <v>454</v>
      </c>
      <c r="H131" s="5">
        <v>58</v>
      </c>
      <c r="I131" s="47">
        <f t="shared" ref="I131:I194" si="2">G131*H131</f>
        <v>26332</v>
      </c>
    </row>
    <row r="132" spans="1:9" x14ac:dyDescent="0.25">
      <c r="A132" s="6" t="s">
        <v>114</v>
      </c>
      <c r="B132" s="6" t="s">
        <v>113</v>
      </c>
      <c r="C132" s="6" t="s">
        <v>11</v>
      </c>
      <c r="D132" s="6" t="s">
        <v>15</v>
      </c>
      <c r="E132" s="3" t="s">
        <v>13</v>
      </c>
      <c r="F132" s="6" t="s">
        <v>16</v>
      </c>
      <c r="G132" s="7">
        <v>300</v>
      </c>
      <c r="H132" s="8">
        <v>24</v>
      </c>
      <c r="I132" s="48">
        <f t="shared" si="2"/>
        <v>7200</v>
      </c>
    </row>
    <row r="133" spans="1:9" x14ac:dyDescent="0.25">
      <c r="A133" s="2" t="s">
        <v>112</v>
      </c>
      <c r="B133" s="2" t="s">
        <v>113</v>
      </c>
      <c r="C133" s="2" t="s">
        <v>11</v>
      </c>
      <c r="D133" s="2" t="s">
        <v>18</v>
      </c>
      <c r="E133" s="3" t="s">
        <v>13</v>
      </c>
      <c r="F133" s="2" t="s">
        <v>19</v>
      </c>
      <c r="G133" s="4">
        <v>214</v>
      </c>
      <c r="H133" s="5">
        <v>18</v>
      </c>
      <c r="I133" s="47">
        <f t="shared" si="2"/>
        <v>3852</v>
      </c>
    </row>
    <row r="134" spans="1:9" x14ac:dyDescent="0.25">
      <c r="A134" s="6" t="s">
        <v>114</v>
      </c>
      <c r="B134" s="6" t="s">
        <v>113</v>
      </c>
      <c r="C134" s="6" t="s">
        <v>21</v>
      </c>
      <c r="D134" s="6" t="s">
        <v>22</v>
      </c>
      <c r="E134" s="3" t="s">
        <v>13</v>
      </c>
      <c r="F134" s="6" t="s">
        <v>23</v>
      </c>
      <c r="G134" s="7">
        <v>308</v>
      </c>
      <c r="H134" s="8">
        <v>32</v>
      </c>
      <c r="I134" s="48">
        <f t="shared" si="2"/>
        <v>9856</v>
      </c>
    </row>
    <row r="135" spans="1:9" x14ac:dyDescent="0.25">
      <c r="A135" s="2" t="s">
        <v>115</v>
      </c>
      <c r="B135" s="2" t="s">
        <v>113</v>
      </c>
      <c r="C135" s="2" t="s">
        <v>21</v>
      </c>
      <c r="D135" s="2" t="s">
        <v>25</v>
      </c>
      <c r="E135" s="3" t="s">
        <v>13</v>
      </c>
      <c r="F135" s="2" t="s">
        <v>26</v>
      </c>
      <c r="G135" s="4">
        <v>202</v>
      </c>
      <c r="H135" s="5">
        <v>55</v>
      </c>
      <c r="I135" s="47">
        <f t="shared" si="2"/>
        <v>11110</v>
      </c>
    </row>
    <row r="136" spans="1:9" x14ac:dyDescent="0.25">
      <c r="A136" s="6" t="s">
        <v>112</v>
      </c>
      <c r="B136" s="6" t="s">
        <v>113</v>
      </c>
      <c r="C136" s="6" t="s">
        <v>21</v>
      </c>
      <c r="D136" s="6" t="s">
        <v>28</v>
      </c>
      <c r="E136" s="3" t="s">
        <v>13</v>
      </c>
      <c r="F136" s="6" t="s">
        <v>29</v>
      </c>
      <c r="G136" s="7">
        <v>389</v>
      </c>
      <c r="H136" s="8">
        <v>12</v>
      </c>
      <c r="I136" s="48">
        <f t="shared" si="2"/>
        <v>4668</v>
      </c>
    </row>
    <row r="137" spans="1:9" x14ac:dyDescent="0.25">
      <c r="A137" s="2" t="s">
        <v>114</v>
      </c>
      <c r="B137" s="2" t="s">
        <v>113</v>
      </c>
      <c r="C137" s="2" t="s">
        <v>30</v>
      </c>
      <c r="D137" s="2" t="s">
        <v>31</v>
      </c>
      <c r="E137" s="3" t="s">
        <v>13</v>
      </c>
      <c r="F137" s="2" t="s">
        <v>32</v>
      </c>
      <c r="G137" s="4">
        <v>547</v>
      </c>
      <c r="H137" s="5">
        <v>47</v>
      </c>
      <c r="I137" s="47">
        <f t="shared" si="2"/>
        <v>25709</v>
      </c>
    </row>
    <row r="138" spans="1:9" x14ac:dyDescent="0.25">
      <c r="A138" s="6" t="s">
        <v>116</v>
      </c>
      <c r="B138" s="6" t="s">
        <v>113</v>
      </c>
      <c r="C138" s="6" t="s">
        <v>30</v>
      </c>
      <c r="D138" s="6" t="s">
        <v>33</v>
      </c>
      <c r="E138" s="3" t="s">
        <v>13</v>
      </c>
      <c r="F138" s="6" t="s">
        <v>34</v>
      </c>
      <c r="G138" s="7">
        <v>197</v>
      </c>
      <c r="H138" s="8">
        <v>52</v>
      </c>
      <c r="I138" s="48">
        <f t="shared" si="2"/>
        <v>10244</v>
      </c>
    </row>
    <row r="139" spans="1:9" x14ac:dyDescent="0.25">
      <c r="A139" s="2" t="s">
        <v>117</v>
      </c>
      <c r="B139" s="2" t="s">
        <v>113</v>
      </c>
      <c r="C139" s="2" t="s">
        <v>36</v>
      </c>
      <c r="D139" s="2" t="s">
        <v>37</v>
      </c>
      <c r="E139" s="3" t="s">
        <v>13</v>
      </c>
      <c r="F139" s="2" t="s">
        <v>38</v>
      </c>
      <c r="G139" s="4">
        <v>4</v>
      </c>
      <c r="H139" s="5">
        <v>1800</v>
      </c>
      <c r="I139" s="47">
        <f t="shared" si="2"/>
        <v>7200</v>
      </c>
    </row>
    <row r="140" spans="1:9" x14ac:dyDescent="0.25">
      <c r="A140" s="6" t="s">
        <v>115</v>
      </c>
      <c r="B140" s="6" t="s">
        <v>113</v>
      </c>
      <c r="C140" s="6" t="s">
        <v>36</v>
      </c>
      <c r="D140" s="6" t="s">
        <v>39</v>
      </c>
      <c r="E140" s="3" t="s">
        <v>13</v>
      </c>
      <c r="F140" s="6" t="s">
        <v>40</v>
      </c>
      <c r="G140" s="7">
        <v>6</v>
      </c>
      <c r="H140" s="8">
        <v>650</v>
      </c>
      <c r="I140" s="48">
        <f t="shared" si="2"/>
        <v>3900</v>
      </c>
    </row>
    <row r="141" spans="1:9" x14ac:dyDescent="0.25">
      <c r="A141" s="2" t="s">
        <v>116</v>
      </c>
      <c r="B141" s="2" t="s">
        <v>113</v>
      </c>
      <c r="C141" s="2" t="s">
        <v>41</v>
      </c>
      <c r="D141" s="2" t="s">
        <v>42</v>
      </c>
      <c r="E141" s="9" t="s">
        <v>43</v>
      </c>
      <c r="F141" s="2" t="s">
        <v>44</v>
      </c>
      <c r="G141" s="4">
        <v>1</v>
      </c>
      <c r="H141" s="5">
        <v>18902.07</v>
      </c>
      <c r="I141" s="47">
        <f t="shared" si="2"/>
        <v>18902.07</v>
      </c>
    </row>
    <row r="142" spans="1:9" x14ac:dyDescent="0.25">
      <c r="A142" s="6" t="s">
        <v>116</v>
      </c>
      <c r="B142" s="6" t="s">
        <v>113</v>
      </c>
      <c r="C142" s="6" t="s">
        <v>41</v>
      </c>
      <c r="D142" s="6" t="s">
        <v>45</v>
      </c>
      <c r="E142" s="9" t="s">
        <v>43</v>
      </c>
      <c r="F142" s="6" t="s">
        <v>46</v>
      </c>
      <c r="G142" s="7">
        <v>1</v>
      </c>
      <c r="H142" s="8">
        <v>5292.78</v>
      </c>
      <c r="I142" s="48">
        <f t="shared" si="2"/>
        <v>5292.78</v>
      </c>
    </row>
    <row r="143" spans="1:9" x14ac:dyDescent="0.25">
      <c r="A143" s="2" t="s">
        <v>118</v>
      </c>
      <c r="B143" s="2" t="s">
        <v>113</v>
      </c>
      <c r="C143" s="2" t="s">
        <v>41</v>
      </c>
      <c r="D143" s="2" t="s">
        <v>47</v>
      </c>
      <c r="E143" s="9" t="s">
        <v>43</v>
      </c>
      <c r="F143" s="2" t="s">
        <v>48</v>
      </c>
      <c r="G143" s="4">
        <v>1</v>
      </c>
      <c r="H143" s="5">
        <v>4948.3900000000003</v>
      </c>
      <c r="I143" s="47">
        <f t="shared" si="2"/>
        <v>4948.3900000000003</v>
      </c>
    </row>
    <row r="144" spans="1:9" x14ac:dyDescent="0.25">
      <c r="A144" s="6" t="s">
        <v>114</v>
      </c>
      <c r="B144" s="6" t="s">
        <v>113</v>
      </c>
      <c r="C144" s="6" t="s">
        <v>41</v>
      </c>
      <c r="D144" s="6" t="s">
        <v>49</v>
      </c>
      <c r="E144" s="9" t="s">
        <v>43</v>
      </c>
      <c r="F144" s="6" t="s">
        <v>50</v>
      </c>
      <c r="G144" s="7">
        <v>1</v>
      </c>
      <c r="H144" s="8">
        <v>9971.27</v>
      </c>
      <c r="I144" s="48">
        <f t="shared" si="2"/>
        <v>9971.27</v>
      </c>
    </row>
    <row r="145" spans="1:9" x14ac:dyDescent="0.25">
      <c r="A145" s="2" t="s">
        <v>114</v>
      </c>
      <c r="B145" s="2" t="s">
        <v>113</v>
      </c>
      <c r="C145" s="2" t="s">
        <v>51</v>
      </c>
      <c r="D145" s="2" t="s">
        <v>52</v>
      </c>
      <c r="E145" s="9" t="s">
        <v>43</v>
      </c>
      <c r="F145" s="2" t="s">
        <v>53</v>
      </c>
      <c r="G145" s="4">
        <v>1</v>
      </c>
      <c r="H145" s="5">
        <v>15409.55</v>
      </c>
      <c r="I145" s="47">
        <f t="shared" si="2"/>
        <v>15409.55</v>
      </c>
    </row>
    <row r="146" spans="1:9" x14ac:dyDescent="0.25">
      <c r="A146" s="6" t="s">
        <v>112</v>
      </c>
      <c r="B146" s="6" t="s">
        <v>113</v>
      </c>
      <c r="C146" s="6" t="s">
        <v>51</v>
      </c>
      <c r="D146" s="6" t="s">
        <v>54</v>
      </c>
      <c r="E146" s="9" t="s">
        <v>43</v>
      </c>
      <c r="F146" s="6" t="s">
        <v>55</v>
      </c>
      <c r="G146" s="7">
        <v>1</v>
      </c>
      <c r="H146" s="8">
        <v>8589.7199999999993</v>
      </c>
      <c r="I146" s="48">
        <f t="shared" si="2"/>
        <v>8589.7199999999993</v>
      </c>
    </row>
    <row r="147" spans="1:9" x14ac:dyDescent="0.25">
      <c r="A147" s="2" t="s">
        <v>114</v>
      </c>
      <c r="B147" s="2" t="s">
        <v>113</v>
      </c>
      <c r="C147" s="2" t="s">
        <v>51</v>
      </c>
      <c r="D147" s="2" t="s">
        <v>56</v>
      </c>
      <c r="E147" s="9" t="s">
        <v>43</v>
      </c>
      <c r="F147" s="2" t="s">
        <v>57</v>
      </c>
      <c r="G147" s="4">
        <v>1</v>
      </c>
      <c r="H147" s="5">
        <v>3826.15</v>
      </c>
      <c r="I147" s="47">
        <f t="shared" si="2"/>
        <v>3826.15</v>
      </c>
    </row>
    <row r="148" spans="1:9" x14ac:dyDescent="0.25">
      <c r="A148" s="6" t="s">
        <v>118</v>
      </c>
      <c r="B148" s="6" t="s">
        <v>113</v>
      </c>
      <c r="C148" s="6" t="s">
        <v>51</v>
      </c>
      <c r="D148" s="6" t="s">
        <v>58</v>
      </c>
      <c r="E148" s="9" t="s">
        <v>43</v>
      </c>
      <c r="F148" s="6" t="s">
        <v>59</v>
      </c>
      <c r="G148" s="7">
        <v>1</v>
      </c>
      <c r="H148" s="8">
        <v>7915.77</v>
      </c>
      <c r="I148" s="48">
        <f t="shared" si="2"/>
        <v>7915.77</v>
      </c>
    </row>
    <row r="149" spans="1:9" x14ac:dyDescent="0.25">
      <c r="A149" s="2" t="s">
        <v>116</v>
      </c>
      <c r="B149" s="2" t="s">
        <v>113</v>
      </c>
      <c r="C149" s="2" t="s">
        <v>60</v>
      </c>
      <c r="D149" s="2" t="s">
        <v>61</v>
      </c>
      <c r="E149" s="9" t="s">
        <v>43</v>
      </c>
      <c r="F149" s="2" t="s">
        <v>62</v>
      </c>
      <c r="G149" s="4">
        <v>1</v>
      </c>
      <c r="H149" s="5">
        <v>8649.09</v>
      </c>
      <c r="I149" s="47">
        <f t="shared" si="2"/>
        <v>8649.09</v>
      </c>
    </row>
    <row r="150" spans="1:9" x14ac:dyDescent="0.25">
      <c r="A150" s="6" t="s">
        <v>116</v>
      </c>
      <c r="B150" s="6" t="s">
        <v>113</v>
      </c>
      <c r="C150" s="6" t="s">
        <v>60</v>
      </c>
      <c r="D150" s="6" t="s">
        <v>63</v>
      </c>
      <c r="E150" s="9" t="s">
        <v>43</v>
      </c>
      <c r="F150" s="6" t="s">
        <v>64</v>
      </c>
      <c r="G150" s="7">
        <v>1</v>
      </c>
      <c r="H150" s="8">
        <v>3447.38</v>
      </c>
      <c r="I150" s="48">
        <f t="shared" si="2"/>
        <v>3447.38</v>
      </c>
    </row>
    <row r="151" spans="1:9" x14ac:dyDescent="0.25">
      <c r="A151" s="2" t="s">
        <v>117</v>
      </c>
      <c r="B151" s="2" t="s">
        <v>113</v>
      </c>
      <c r="C151" s="2" t="s">
        <v>60</v>
      </c>
      <c r="D151" s="2" t="s">
        <v>65</v>
      </c>
      <c r="E151" s="9" t="s">
        <v>43</v>
      </c>
      <c r="F151" s="2" t="s">
        <v>66</v>
      </c>
      <c r="G151" s="4">
        <v>1</v>
      </c>
      <c r="H151" s="5">
        <v>1475.33</v>
      </c>
      <c r="I151" s="47">
        <f t="shared" si="2"/>
        <v>1475.33</v>
      </c>
    </row>
    <row r="152" spans="1:9" x14ac:dyDescent="0.25">
      <c r="A152" s="6" t="s">
        <v>118</v>
      </c>
      <c r="B152" s="6" t="s">
        <v>113</v>
      </c>
      <c r="C152" s="6" t="s">
        <v>60</v>
      </c>
      <c r="D152" s="6" t="s">
        <v>67</v>
      </c>
      <c r="E152" s="9" t="s">
        <v>43</v>
      </c>
      <c r="F152" s="6" t="s">
        <v>68</v>
      </c>
      <c r="G152" s="7">
        <v>1</v>
      </c>
      <c r="H152" s="8">
        <v>514.45000000000005</v>
      </c>
      <c r="I152" s="48">
        <f t="shared" si="2"/>
        <v>514.45000000000005</v>
      </c>
    </row>
    <row r="153" spans="1:9" x14ac:dyDescent="0.25">
      <c r="A153" s="2" t="s">
        <v>112</v>
      </c>
      <c r="B153" s="2" t="s">
        <v>113</v>
      </c>
      <c r="C153" s="2" t="s">
        <v>60</v>
      </c>
      <c r="D153" s="2" t="s">
        <v>69</v>
      </c>
      <c r="E153" s="9" t="s">
        <v>43</v>
      </c>
      <c r="F153" s="2" t="s">
        <v>70</v>
      </c>
      <c r="G153" s="4">
        <v>1</v>
      </c>
      <c r="H153" s="5">
        <v>332.75</v>
      </c>
      <c r="I153" s="47">
        <f t="shared" si="2"/>
        <v>332.75</v>
      </c>
    </row>
    <row r="154" spans="1:9" x14ac:dyDescent="0.25">
      <c r="A154" s="6" t="s">
        <v>118</v>
      </c>
      <c r="B154" s="6" t="s">
        <v>113</v>
      </c>
      <c r="C154" s="6" t="s">
        <v>71</v>
      </c>
      <c r="D154" s="6" t="s">
        <v>72</v>
      </c>
      <c r="E154" s="9" t="s">
        <v>43</v>
      </c>
      <c r="F154" s="6" t="s">
        <v>73</v>
      </c>
      <c r="G154" s="7">
        <v>1</v>
      </c>
      <c r="H154" s="8">
        <v>1946.08</v>
      </c>
      <c r="I154" s="48">
        <f t="shared" si="2"/>
        <v>1946.08</v>
      </c>
    </row>
    <row r="155" spans="1:9" x14ac:dyDescent="0.25">
      <c r="A155" s="2" t="s">
        <v>114</v>
      </c>
      <c r="B155" s="2" t="s">
        <v>113</v>
      </c>
      <c r="C155" s="2" t="s">
        <v>71</v>
      </c>
      <c r="D155" s="2" t="s">
        <v>74</v>
      </c>
      <c r="E155" s="9" t="s">
        <v>43</v>
      </c>
      <c r="F155" s="2" t="s">
        <v>75</v>
      </c>
      <c r="G155" s="4">
        <v>1</v>
      </c>
      <c r="H155" s="5">
        <v>637.02</v>
      </c>
      <c r="I155" s="47">
        <f t="shared" si="2"/>
        <v>637.02</v>
      </c>
    </row>
    <row r="156" spans="1:9" x14ac:dyDescent="0.25">
      <c r="A156" s="6" t="s">
        <v>114</v>
      </c>
      <c r="B156" s="6" t="s">
        <v>113</v>
      </c>
      <c r="C156" s="6" t="s">
        <v>71</v>
      </c>
      <c r="D156" s="6" t="s">
        <v>76</v>
      </c>
      <c r="E156" s="9" t="s">
        <v>43</v>
      </c>
      <c r="F156" s="6" t="s">
        <v>77</v>
      </c>
      <c r="G156" s="7">
        <v>1</v>
      </c>
      <c r="H156" s="8">
        <v>407.32</v>
      </c>
      <c r="I156" s="48">
        <f t="shared" si="2"/>
        <v>407.32</v>
      </c>
    </row>
    <row r="157" spans="1:9" x14ac:dyDescent="0.25">
      <c r="A157" s="2" t="s">
        <v>117</v>
      </c>
      <c r="B157" s="2" t="s">
        <v>113</v>
      </c>
      <c r="C157" s="2" t="s">
        <v>71</v>
      </c>
      <c r="D157" s="2" t="s">
        <v>78</v>
      </c>
      <c r="E157" s="9" t="s">
        <v>43</v>
      </c>
      <c r="F157" s="2" t="s">
        <v>79</v>
      </c>
      <c r="G157" s="4">
        <v>1</v>
      </c>
      <c r="H157" s="5">
        <v>970.46</v>
      </c>
      <c r="I157" s="47">
        <f t="shared" si="2"/>
        <v>970.46</v>
      </c>
    </row>
    <row r="158" spans="1:9" x14ac:dyDescent="0.25">
      <c r="A158" s="6" t="s">
        <v>118</v>
      </c>
      <c r="B158" s="6" t="s">
        <v>113</v>
      </c>
      <c r="C158" s="6" t="s">
        <v>80</v>
      </c>
      <c r="D158" s="6" t="s">
        <v>81</v>
      </c>
      <c r="E158" s="9" t="s">
        <v>43</v>
      </c>
      <c r="F158" s="6" t="s">
        <v>82</v>
      </c>
      <c r="G158" s="7">
        <v>1</v>
      </c>
      <c r="H158" s="8">
        <v>1299.6199999999999</v>
      </c>
      <c r="I158" s="48">
        <f t="shared" si="2"/>
        <v>1299.6199999999999</v>
      </c>
    </row>
    <row r="159" spans="1:9" x14ac:dyDescent="0.25">
      <c r="A159" s="2" t="s">
        <v>112</v>
      </c>
      <c r="B159" s="2" t="s">
        <v>113</v>
      </c>
      <c r="C159" s="2" t="s">
        <v>80</v>
      </c>
      <c r="D159" s="2" t="s">
        <v>83</v>
      </c>
      <c r="E159" s="9" t="s">
        <v>43</v>
      </c>
      <c r="F159" s="2" t="s">
        <v>84</v>
      </c>
      <c r="G159" s="4">
        <v>1</v>
      </c>
      <c r="H159" s="5">
        <v>835.71</v>
      </c>
      <c r="I159" s="47">
        <f t="shared" si="2"/>
        <v>835.71</v>
      </c>
    </row>
    <row r="160" spans="1:9" x14ac:dyDescent="0.25">
      <c r="A160" s="6" t="s">
        <v>117</v>
      </c>
      <c r="B160" s="6" t="s">
        <v>113</v>
      </c>
      <c r="C160" s="6" t="s">
        <v>85</v>
      </c>
      <c r="D160" s="6" t="s">
        <v>86</v>
      </c>
      <c r="E160" s="9" t="s">
        <v>43</v>
      </c>
      <c r="F160" s="6" t="s">
        <v>87</v>
      </c>
      <c r="G160" s="7">
        <v>1</v>
      </c>
      <c r="H160" s="8">
        <v>6956.97</v>
      </c>
      <c r="I160" s="48">
        <f t="shared" si="2"/>
        <v>6956.97</v>
      </c>
    </row>
    <row r="161" spans="1:9" x14ac:dyDescent="0.25">
      <c r="A161" s="2" t="s">
        <v>118</v>
      </c>
      <c r="B161" s="2" t="s">
        <v>113</v>
      </c>
      <c r="C161" s="2" t="s">
        <v>85</v>
      </c>
      <c r="D161" s="2" t="s">
        <v>88</v>
      </c>
      <c r="E161" s="9" t="s">
        <v>43</v>
      </c>
      <c r="F161" s="2" t="s">
        <v>89</v>
      </c>
      <c r="G161" s="4">
        <v>1</v>
      </c>
      <c r="H161" s="5">
        <v>3979.21</v>
      </c>
      <c r="I161" s="47">
        <f t="shared" si="2"/>
        <v>3979.21</v>
      </c>
    </row>
    <row r="162" spans="1:9" x14ac:dyDescent="0.25">
      <c r="A162" s="6" t="s">
        <v>118</v>
      </c>
      <c r="B162" s="6" t="s">
        <v>113</v>
      </c>
      <c r="C162" s="6" t="s">
        <v>85</v>
      </c>
      <c r="D162" s="6" t="s">
        <v>90</v>
      </c>
      <c r="E162" s="9" t="s">
        <v>43</v>
      </c>
      <c r="F162" s="6" t="s">
        <v>91</v>
      </c>
      <c r="G162" s="7">
        <v>1</v>
      </c>
      <c r="H162" s="8">
        <v>304.98</v>
      </c>
      <c r="I162" s="48">
        <f t="shared" si="2"/>
        <v>304.98</v>
      </c>
    </row>
    <row r="163" spans="1:9" x14ac:dyDescent="0.25">
      <c r="A163" s="2" t="s">
        <v>119</v>
      </c>
      <c r="B163" s="2" t="s">
        <v>120</v>
      </c>
      <c r="C163" s="2" t="s">
        <v>11</v>
      </c>
      <c r="D163" s="2" t="s">
        <v>12</v>
      </c>
      <c r="E163" s="3" t="s">
        <v>13</v>
      </c>
      <c r="F163" s="2" t="s">
        <v>14</v>
      </c>
      <c r="G163" s="4">
        <v>494</v>
      </c>
      <c r="H163" s="5">
        <v>58</v>
      </c>
      <c r="I163" s="47">
        <f t="shared" si="2"/>
        <v>28652</v>
      </c>
    </row>
    <row r="164" spans="1:9" x14ac:dyDescent="0.25">
      <c r="A164" s="6" t="s">
        <v>121</v>
      </c>
      <c r="B164" s="6" t="s">
        <v>120</v>
      </c>
      <c r="C164" s="6" t="s">
        <v>11</v>
      </c>
      <c r="D164" s="6" t="s">
        <v>15</v>
      </c>
      <c r="E164" s="3" t="s">
        <v>13</v>
      </c>
      <c r="F164" s="6" t="s">
        <v>16</v>
      </c>
      <c r="G164" s="7">
        <v>302</v>
      </c>
      <c r="H164" s="8">
        <v>24</v>
      </c>
      <c r="I164" s="48">
        <f t="shared" si="2"/>
        <v>7248</v>
      </c>
    </row>
    <row r="165" spans="1:9" x14ac:dyDescent="0.25">
      <c r="A165" s="2" t="s">
        <v>119</v>
      </c>
      <c r="B165" s="2" t="s">
        <v>120</v>
      </c>
      <c r="C165" s="2" t="s">
        <v>11</v>
      </c>
      <c r="D165" s="2" t="s">
        <v>18</v>
      </c>
      <c r="E165" s="3" t="s">
        <v>13</v>
      </c>
      <c r="F165" s="2" t="s">
        <v>19</v>
      </c>
      <c r="G165" s="4">
        <v>242</v>
      </c>
      <c r="H165" s="5">
        <v>18</v>
      </c>
      <c r="I165" s="47">
        <f t="shared" si="2"/>
        <v>4356</v>
      </c>
    </row>
    <row r="166" spans="1:9" x14ac:dyDescent="0.25">
      <c r="A166" s="6" t="s">
        <v>121</v>
      </c>
      <c r="B166" s="6" t="s">
        <v>120</v>
      </c>
      <c r="C166" s="6" t="s">
        <v>21</v>
      </c>
      <c r="D166" s="6" t="s">
        <v>22</v>
      </c>
      <c r="E166" s="3" t="s">
        <v>13</v>
      </c>
      <c r="F166" s="6" t="s">
        <v>23</v>
      </c>
      <c r="G166" s="7">
        <v>345</v>
      </c>
      <c r="H166" s="8">
        <v>32</v>
      </c>
      <c r="I166" s="48">
        <f t="shared" si="2"/>
        <v>11040</v>
      </c>
    </row>
    <row r="167" spans="1:9" x14ac:dyDescent="0.25">
      <c r="A167" s="2" t="s">
        <v>122</v>
      </c>
      <c r="B167" s="2" t="s">
        <v>120</v>
      </c>
      <c r="C167" s="2" t="s">
        <v>21</v>
      </c>
      <c r="D167" s="2" t="s">
        <v>25</v>
      </c>
      <c r="E167" s="3" t="s">
        <v>13</v>
      </c>
      <c r="F167" s="2" t="s">
        <v>26</v>
      </c>
      <c r="G167" s="4">
        <v>207</v>
      </c>
      <c r="H167" s="5">
        <v>55</v>
      </c>
      <c r="I167" s="47">
        <f t="shared" si="2"/>
        <v>11385</v>
      </c>
    </row>
    <row r="168" spans="1:9" x14ac:dyDescent="0.25">
      <c r="A168" s="6" t="s">
        <v>119</v>
      </c>
      <c r="B168" s="6" t="s">
        <v>120</v>
      </c>
      <c r="C168" s="6" t="s">
        <v>21</v>
      </c>
      <c r="D168" s="6" t="s">
        <v>28</v>
      </c>
      <c r="E168" s="3" t="s">
        <v>13</v>
      </c>
      <c r="F168" s="6" t="s">
        <v>29</v>
      </c>
      <c r="G168" s="7">
        <v>467</v>
      </c>
      <c r="H168" s="8">
        <v>12</v>
      </c>
      <c r="I168" s="48">
        <f t="shared" si="2"/>
        <v>5604</v>
      </c>
    </row>
    <row r="169" spans="1:9" x14ac:dyDescent="0.25">
      <c r="A169" s="2" t="s">
        <v>119</v>
      </c>
      <c r="B169" s="2" t="s">
        <v>120</v>
      </c>
      <c r="C169" s="2" t="s">
        <v>30</v>
      </c>
      <c r="D169" s="2" t="s">
        <v>31</v>
      </c>
      <c r="E169" s="3" t="s">
        <v>13</v>
      </c>
      <c r="F169" s="2" t="s">
        <v>32</v>
      </c>
      <c r="G169" s="4">
        <v>606</v>
      </c>
      <c r="H169" s="5">
        <v>47</v>
      </c>
      <c r="I169" s="47">
        <f t="shared" si="2"/>
        <v>28482</v>
      </c>
    </row>
    <row r="170" spans="1:9" x14ac:dyDescent="0.25">
      <c r="A170" s="6" t="s">
        <v>123</v>
      </c>
      <c r="B170" s="6" t="s">
        <v>120</v>
      </c>
      <c r="C170" s="6" t="s">
        <v>30</v>
      </c>
      <c r="D170" s="6" t="s">
        <v>33</v>
      </c>
      <c r="E170" s="3" t="s">
        <v>13</v>
      </c>
      <c r="F170" s="6" t="s">
        <v>34</v>
      </c>
      <c r="G170" s="7">
        <v>207</v>
      </c>
      <c r="H170" s="8">
        <v>52</v>
      </c>
      <c r="I170" s="48">
        <f t="shared" si="2"/>
        <v>10764</v>
      </c>
    </row>
    <row r="171" spans="1:9" x14ac:dyDescent="0.25">
      <c r="A171" s="2" t="s">
        <v>124</v>
      </c>
      <c r="B171" s="2" t="s">
        <v>120</v>
      </c>
      <c r="C171" s="2" t="s">
        <v>36</v>
      </c>
      <c r="D171" s="2" t="s">
        <v>37</v>
      </c>
      <c r="E171" s="3" t="s">
        <v>13</v>
      </c>
      <c r="F171" s="2" t="s">
        <v>38</v>
      </c>
      <c r="G171" s="4">
        <v>4</v>
      </c>
      <c r="H171" s="5">
        <v>1800</v>
      </c>
      <c r="I171" s="47">
        <f t="shared" si="2"/>
        <v>7200</v>
      </c>
    </row>
    <row r="172" spans="1:9" x14ac:dyDescent="0.25">
      <c r="A172" s="6" t="s">
        <v>125</v>
      </c>
      <c r="B172" s="6" t="s">
        <v>120</v>
      </c>
      <c r="C172" s="6" t="s">
        <v>36</v>
      </c>
      <c r="D172" s="6" t="s">
        <v>39</v>
      </c>
      <c r="E172" s="3" t="s">
        <v>13</v>
      </c>
      <c r="F172" s="6" t="s">
        <v>40</v>
      </c>
      <c r="G172" s="7">
        <v>6</v>
      </c>
      <c r="H172" s="8">
        <v>650</v>
      </c>
      <c r="I172" s="48">
        <f t="shared" si="2"/>
        <v>3900</v>
      </c>
    </row>
    <row r="173" spans="1:9" x14ac:dyDescent="0.25">
      <c r="A173" s="2" t="s">
        <v>119</v>
      </c>
      <c r="B173" s="2" t="s">
        <v>120</v>
      </c>
      <c r="C173" s="2" t="s">
        <v>41</v>
      </c>
      <c r="D173" s="2" t="s">
        <v>42</v>
      </c>
      <c r="E173" s="9" t="s">
        <v>43</v>
      </c>
      <c r="F173" s="2" t="s">
        <v>44</v>
      </c>
      <c r="G173" s="4">
        <v>1</v>
      </c>
      <c r="H173" s="5">
        <v>19463.400000000001</v>
      </c>
      <c r="I173" s="47">
        <f t="shared" si="2"/>
        <v>19463.400000000001</v>
      </c>
    </row>
    <row r="174" spans="1:9" x14ac:dyDescent="0.25">
      <c r="A174" s="6" t="s">
        <v>122</v>
      </c>
      <c r="B174" s="6" t="s">
        <v>120</v>
      </c>
      <c r="C174" s="6" t="s">
        <v>41</v>
      </c>
      <c r="D174" s="6" t="s">
        <v>45</v>
      </c>
      <c r="E174" s="9" t="s">
        <v>43</v>
      </c>
      <c r="F174" s="6" t="s">
        <v>46</v>
      </c>
      <c r="G174" s="7">
        <v>1</v>
      </c>
      <c r="H174" s="8">
        <v>5551.94</v>
      </c>
      <c r="I174" s="48">
        <f t="shared" si="2"/>
        <v>5551.94</v>
      </c>
    </row>
    <row r="175" spans="1:9" x14ac:dyDescent="0.25">
      <c r="A175" s="2" t="s">
        <v>124</v>
      </c>
      <c r="B175" s="2" t="s">
        <v>120</v>
      </c>
      <c r="C175" s="2" t="s">
        <v>41</v>
      </c>
      <c r="D175" s="2" t="s">
        <v>47</v>
      </c>
      <c r="E175" s="9" t="s">
        <v>43</v>
      </c>
      <c r="F175" s="2" t="s">
        <v>48</v>
      </c>
      <c r="G175" s="4">
        <v>1</v>
      </c>
      <c r="H175" s="5">
        <v>5440.92</v>
      </c>
      <c r="I175" s="47">
        <f t="shared" si="2"/>
        <v>5440.92</v>
      </c>
    </row>
    <row r="176" spans="1:9" x14ac:dyDescent="0.25">
      <c r="A176" s="6" t="s">
        <v>122</v>
      </c>
      <c r="B176" s="6" t="s">
        <v>120</v>
      </c>
      <c r="C176" s="6" t="s">
        <v>41</v>
      </c>
      <c r="D176" s="6" t="s">
        <v>49</v>
      </c>
      <c r="E176" s="9" t="s">
        <v>43</v>
      </c>
      <c r="F176" s="6" t="s">
        <v>50</v>
      </c>
      <c r="G176" s="7">
        <v>1</v>
      </c>
      <c r="H176" s="8">
        <v>10387.43</v>
      </c>
      <c r="I176" s="48">
        <f t="shared" si="2"/>
        <v>10387.43</v>
      </c>
    </row>
    <row r="177" spans="1:9" x14ac:dyDescent="0.25">
      <c r="A177" s="2" t="s">
        <v>122</v>
      </c>
      <c r="B177" s="2" t="s">
        <v>120</v>
      </c>
      <c r="C177" s="2" t="s">
        <v>51</v>
      </c>
      <c r="D177" s="2" t="s">
        <v>52</v>
      </c>
      <c r="E177" s="9" t="s">
        <v>43</v>
      </c>
      <c r="F177" s="2" t="s">
        <v>53</v>
      </c>
      <c r="G177" s="4">
        <v>1</v>
      </c>
      <c r="H177" s="5">
        <v>15610.56</v>
      </c>
      <c r="I177" s="47">
        <f t="shared" si="2"/>
        <v>15610.56</v>
      </c>
    </row>
    <row r="178" spans="1:9" x14ac:dyDescent="0.25">
      <c r="A178" s="6" t="s">
        <v>119</v>
      </c>
      <c r="B178" s="6" t="s">
        <v>120</v>
      </c>
      <c r="C178" s="6" t="s">
        <v>51</v>
      </c>
      <c r="D178" s="6" t="s">
        <v>54</v>
      </c>
      <c r="E178" s="9" t="s">
        <v>43</v>
      </c>
      <c r="F178" s="6" t="s">
        <v>55</v>
      </c>
      <c r="G178" s="7">
        <v>1</v>
      </c>
      <c r="H178" s="8">
        <v>8900.19</v>
      </c>
      <c r="I178" s="48">
        <f t="shared" si="2"/>
        <v>8900.19</v>
      </c>
    </row>
    <row r="179" spans="1:9" x14ac:dyDescent="0.25">
      <c r="A179" s="2" t="s">
        <v>123</v>
      </c>
      <c r="B179" s="2" t="s">
        <v>120</v>
      </c>
      <c r="C179" s="2" t="s">
        <v>51</v>
      </c>
      <c r="D179" s="2" t="s">
        <v>56</v>
      </c>
      <c r="E179" s="9" t="s">
        <v>43</v>
      </c>
      <c r="F179" s="2" t="s">
        <v>57</v>
      </c>
      <c r="G179" s="4">
        <v>1</v>
      </c>
      <c r="H179" s="5">
        <v>3993.73</v>
      </c>
      <c r="I179" s="47">
        <f t="shared" si="2"/>
        <v>3993.73</v>
      </c>
    </row>
    <row r="180" spans="1:9" x14ac:dyDescent="0.25">
      <c r="A180" s="6" t="s">
        <v>121</v>
      </c>
      <c r="B180" s="6" t="s">
        <v>120</v>
      </c>
      <c r="C180" s="6" t="s">
        <v>51</v>
      </c>
      <c r="D180" s="6" t="s">
        <v>58</v>
      </c>
      <c r="E180" s="9" t="s">
        <v>43</v>
      </c>
      <c r="F180" s="6" t="s">
        <v>59</v>
      </c>
      <c r="G180" s="7">
        <v>1</v>
      </c>
      <c r="H180" s="8">
        <v>8817.89</v>
      </c>
      <c r="I180" s="48">
        <f t="shared" si="2"/>
        <v>8817.89</v>
      </c>
    </row>
    <row r="181" spans="1:9" x14ac:dyDescent="0.25">
      <c r="A181" s="2" t="s">
        <v>122</v>
      </c>
      <c r="B181" s="2" t="s">
        <v>120</v>
      </c>
      <c r="C181" s="2" t="s">
        <v>60</v>
      </c>
      <c r="D181" s="2" t="s">
        <v>61</v>
      </c>
      <c r="E181" s="9" t="s">
        <v>43</v>
      </c>
      <c r="F181" s="2" t="s">
        <v>62</v>
      </c>
      <c r="G181" s="4">
        <v>1</v>
      </c>
      <c r="H181" s="5">
        <v>9220.56</v>
      </c>
      <c r="I181" s="47">
        <f t="shared" si="2"/>
        <v>9220.56</v>
      </c>
    </row>
    <row r="182" spans="1:9" x14ac:dyDescent="0.25">
      <c r="A182" s="6" t="s">
        <v>123</v>
      </c>
      <c r="B182" s="6" t="s">
        <v>120</v>
      </c>
      <c r="C182" s="6" t="s">
        <v>60</v>
      </c>
      <c r="D182" s="6" t="s">
        <v>63</v>
      </c>
      <c r="E182" s="9" t="s">
        <v>43</v>
      </c>
      <c r="F182" s="6" t="s">
        <v>64</v>
      </c>
      <c r="G182" s="7">
        <v>1</v>
      </c>
      <c r="H182" s="8">
        <v>3485.27</v>
      </c>
      <c r="I182" s="48">
        <f t="shared" si="2"/>
        <v>3485.27</v>
      </c>
    </row>
    <row r="183" spans="1:9" x14ac:dyDescent="0.25">
      <c r="A183" s="2" t="s">
        <v>124</v>
      </c>
      <c r="B183" s="2" t="s">
        <v>120</v>
      </c>
      <c r="C183" s="2" t="s">
        <v>60</v>
      </c>
      <c r="D183" s="2" t="s">
        <v>65</v>
      </c>
      <c r="E183" s="9" t="s">
        <v>43</v>
      </c>
      <c r="F183" s="2" t="s">
        <v>66</v>
      </c>
      <c r="G183" s="4">
        <v>1</v>
      </c>
      <c r="H183" s="5">
        <v>1553.59</v>
      </c>
      <c r="I183" s="47">
        <f t="shared" si="2"/>
        <v>1553.59</v>
      </c>
    </row>
    <row r="184" spans="1:9" x14ac:dyDescent="0.25">
      <c r="A184" s="6" t="s">
        <v>121</v>
      </c>
      <c r="B184" s="6" t="s">
        <v>120</v>
      </c>
      <c r="C184" s="6" t="s">
        <v>60</v>
      </c>
      <c r="D184" s="6" t="s">
        <v>67</v>
      </c>
      <c r="E184" s="9" t="s">
        <v>43</v>
      </c>
      <c r="F184" s="6" t="s">
        <v>68</v>
      </c>
      <c r="G184" s="7">
        <v>1</v>
      </c>
      <c r="H184" s="8">
        <v>513.25</v>
      </c>
      <c r="I184" s="48">
        <f t="shared" si="2"/>
        <v>513.25</v>
      </c>
    </row>
    <row r="185" spans="1:9" x14ac:dyDescent="0.25">
      <c r="A185" s="2" t="s">
        <v>123</v>
      </c>
      <c r="B185" s="2" t="s">
        <v>120</v>
      </c>
      <c r="C185" s="2" t="s">
        <v>60</v>
      </c>
      <c r="D185" s="2" t="s">
        <v>69</v>
      </c>
      <c r="E185" s="9" t="s">
        <v>43</v>
      </c>
      <c r="F185" s="2" t="s">
        <v>70</v>
      </c>
      <c r="G185" s="4">
        <v>1</v>
      </c>
      <c r="H185" s="5">
        <v>338.44</v>
      </c>
      <c r="I185" s="47">
        <f t="shared" si="2"/>
        <v>338.44</v>
      </c>
    </row>
    <row r="186" spans="1:9" x14ac:dyDescent="0.25">
      <c r="A186" s="6" t="s">
        <v>125</v>
      </c>
      <c r="B186" s="6" t="s">
        <v>120</v>
      </c>
      <c r="C186" s="6" t="s">
        <v>71</v>
      </c>
      <c r="D186" s="6" t="s">
        <v>72</v>
      </c>
      <c r="E186" s="9" t="s">
        <v>43</v>
      </c>
      <c r="F186" s="6" t="s">
        <v>73</v>
      </c>
      <c r="G186" s="7">
        <v>1</v>
      </c>
      <c r="H186" s="8">
        <v>2017.85</v>
      </c>
      <c r="I186" s="48">
        <f t="shared" si="2"/>
        <v>2017.85</v>
      </c>
    </row>
    <row r="187" spans="1:9" x14ac:dyDescent="0.25">
      <c r="A187" s="2" t="s">
        <v>119</v>
      </c>
      <c r="B187" s="2" t="s">
        <v>120</v>
      </c>
      <c r="C187" s="2" t="s">
        <v>71</v>
      </c>
      <c r="D187" s="2" t="s">
        <v>74</v>
      </c>
      <c r="E187" s="9" t="s">
        <v>43</v>
      </c>
      <c r="F187" s="2" t="s">
        <v>75</v>
      </c>
      <c r="G187" s="4">
        <v>1</v>
      </c>
      <c r="H187" s="5">
        <v>682.67</v>
      </c>
      <c r="I187" s="47">
        <f t="shared" si="2"/>
        <v>682.67</v>
      </c>
    </row>
    <row r="188" spans="1:9" x14ac:dyDescent="0.25">
      <c r="A188" s="6" t="s">
        <v>125</v>
      </c>
      <c r="B188" s="6" t="s">
        <v>120</v>
      </c>
      <c r="C188" s="6" t="s">
        <v>71</v>
      </c>
      <c r="D188" s="6" t="s">
        <v>76</v>
      </c>
      <c r="E188" s="9" t="s">
        <v>43</v>
      </c>
      <c r="F188" s="6" t="s">
        <v>77</v>
      </c>
      <c r="G188" s="7">
        <v>1</v>
      </c>
      <c r="H188" s="8">
        <v>407.1</v>
      </c>
      <c r="I188" s="48">
        <f t="shared" si="2"/>
        <v>407.1</v>
      </c>
    </row>
    <row r="189" spans="1:9" x14ac:dyDescent="0.25">
      <c r="A189" s="2" t="s">
        <v>119</v>
      </c>
      <c r="B189" s="2" t="s">
        <v>120</v>
      </c>
      <c r="C189" s="2" t="s">
        <v>71</v>
      </c>
      <c r="D189" s="2" t="s">
        <v>78</v>
      </c>
      <c r="E189" s="9" t="s">
        <v>43</v>
      </c>
      <c r="F189" s="2" t="s">
        <v>79</v>
      </c>
      <c r="G189" s="4">
        <v>1</v>
      </c>
      <c r="H189" s="5">
        <v>1086.0999999999999</v>
      </c>
      <c r="I189" s="47">
        <f t="shared" si="2"/>
        <v>1086.0999999999999</v>
      </c>
    </row>
    <row r="190" spans="1:9" x14ac:dyDescent="0.25">
      <c r="A190" s="6" t="s">
        <v>123</v>
      </c>
      <c r="B190" s="6" t="s">
        <v>120</v>
      </c>
      <c r="C190" s="6" t="s">
        <v>80</v>
      </c>
      <c r="D190" s="6" t="s">
        <v>81</v>
      </c>
      <c r="E190" s="9" t="s">
        <v>43</v>
      </c>
      <c r="F190" s="6" t="s">
        <v>82</v>
      </c>
      <c r="G190" s="7">
        <v>1</v>
      </c>
      <c r="H190" s="8">
        <v>1292.73</v>
      </c>
      <c r="I190" s="48">
        <f t="shared" si="2"/>
        <v>1292.73</v>
      </c>
    </row>
    <row r="191" spans="1:9" x14ac:dyDescent="0.25">
      <c r="A191" s="2" t="s">
        <v>124</v>
      </c>
      <c r="B191" s="2" t="s">
        <v>120</v>
      </c>
      <c r="C191" s="2" t="s">
        <v>80</v>
      </c>
      <c r="D191" s="2" t="s">
        <v>83</v>
      </c>
      <c r="E191" s="9" t="s">
        <v>43</v>
      </c>
      <c r="F191" s="2" t="s">
        <v>84</v>
      </c>
      <c r="G191" s="4">
        <v>1</v>
      </c>
      <c r="H191" s="5">
        <v>856.33</v>
      </c>
      <c r="I191" s="47">
        <f t="shared" si="2"/>
        <v>856.33</v>
      </c>
    </row>
    <row r="192" spans="1:9" x14ac:dyDescent="0.25">
      <c r="A192" s="6" t="s">
        <v>122</v>
      </c>
      <c r="B192" s="6" t="s">
        <v>120</v>
      </c>
      <c r="C192" s="6" t="s">
        <v>85</v>
      </c>
      <c r="D192" s="6" t="s">
        <v>86</v>
      </c>
      <c r="E192" s="9" t="s">
        <v>43</v>
      </c>
      <c r="F192" s="6" t="s">
        <v>87</v>
      </c>
      <c r="G192" s="7">
        <v>1</v>
      </c>
      <c r="H192" s="8">
        <v>7237.02</v>
      </c>
      <c r="I192" s="48">
        <f t="shared" si="2"/>
        <v>7237.02</v>
      </c>
    </row>
    <row r="193" spans="1:9" x14ac:dyDescent="0.25">
      <c r="A193" s="2" t="s">
        <v>122</v>
      </c>
      <c r="B193" s="2" t="s">
        <v>120</v>
      </c>
      <c r="C193" s="2" t="s">
        <v>85</v>
      </c>
      <c r="D193" s="2" t="s">
        <v>88</v>
      </c>
      <c r="E193" s="9" t="s">
        <v>43</v>
      </c>
      <c r="F193" s="2" t="s">
        <v>89</v>
      </c>
      <c r="G193" s="4">
        <v>1</v>
      </c>
      <c r="H193" s="5">
        <v>4312.5</v>
      </c>
      <c r="I193" s="47">
        <f t="shared" si="2"/>
        <v>4312.5</v>
      </c>
    </row>
    <row r="194" spans="1:9" x14ac:dyDescent="0.25">
      <c r="A194" s="6" t="s">
        <v>119</v>
      </c>
      <c r="B194" s="6" t="s">
        <v>120</v>
      </c>
      <c r="C194" s="6" t="s">
        <v>85</v>
      </c>
      <c r="D194" s="6" t="s">
        <v>90</v>
      </c>
      <c r="E194" s="9" t="s">
        <v>43</v>
      </c>
      <c r="F194" s="6" t="s">
        <v>91</v>
      </c>
      <c r="G194" s="7">
        <v>1</v>
      </c>
      <c r="H194" s="8">
        <v>316.32</v>
      </c>
      <c r="I194" s="48">
        <f t="shared" si="2"/>
        <v>316.32</v>
      </c>
    </row>
    <row r="195" spans="1:9" x14ac:dyDescent="0.25">
      <c r="A195" s="2" t="s">
        <v>126</v>
      </c>
      <c r="B195" s="2" t="s">
        <v>127</v>
      </c>
      <c r="C195" s="2" t="s">
        <v>11</v>
      </c>
      <c r="D195" s="2" t="s">
        <v>12</v>
      </c>
      <c r="E195" s="3" t="s">
        <v>13</v>
      </c>
      <c r="F195" s="2" t="s">
        <v>14</v>
      </c>
      <c r="G195" s="4">
        <v>514</v>
      </c>
      <c r="H195" s="5">
        <v>58</v>
      </c>
      <c r="I195" s="47">
        <f t="shared" ref="I195:I258" si="3">G195*H195</f>
        <v>29812</v>
      </c>
    </row>
    <row r="196" spans="1:9" x14ac:dyDescent="0.25">
      <c r="A196" s="6" t="s">
        <v>128</v>
      </c>
      <c r="B196" s="6" t="s">
        <v>127</v>
      </c>
      <c r="C196" s="6" t="s">
        <v>11</v>
      </c>
      <c r="D196" s="6" t="s">
        <v>15</v>
      </c>
      <c r="E196" s="3" t="s">
        <v>13</v>
      </c>
      <c r="F196" s="6" t="s">
        <v>16</v>
      </c>
      <c r="G196" s="7">
        <v>329</v>
      </c>
      <c r="H196" s="8">
        <v>24</v>
      </c>
      <c r="I196" s="48">
        <f t="shared" si="3"/>
        <v>7896</v>
      </c>
    </row>
    <row r="197" spans="1:9" x14ac:dyDescent="0.25">
      <c r="A197" s="2" t="s">
        <v>129</v>
      </c>
      <c r="B197" s="2" t="s">
        <v>127</v>
      </c>
      <c r="C197" s="2" t="s">
        <v>11</v>
      </c>
      <c r="D197" s="2" t="s">
        <v>18</v>
      </c>
      <c r="E197" s="3" t="s">
        <v>13</v>
      </c>
      <c r="F197" s="2" t="s">
        <v>19</v>
      </c>
      <c r="G197" s="4">
        <v>260</v>
      </c>
      <c r="H197" s="5">
        <v>18</v>
      </c>
      <c r="I197" s="47">
        <f t="shared" si="3"/>
        <v>4680</v>
      </c>
    </row>
    <row r="198" spans="1:9" x14ac:dyDescent="0.25">
      <c r="A198" s="6" t="s">
        <v>130</v>
      </c>
      <c r="B198" s="6" t="s">
        <v>127</v>
      </c>
      <c r="C198" s="6" t="s">
        <v>21</v>
      </c>
      <c r="D198" s="6" t="s">
        <v>22</v>
      </c>
      <c r="E198" s="3" t="s">
        <v>13</v>
      </c>
      <c r="F198" s="6" t="s">
        <v>23</v>
      </c>
      <c r="G198" s="7">
        <v>338</v>
      </c>
      <c r="H198" s="8">
        <v>32</v>
      </c>
      <c r="I198" s="48">
        <f t="shared" si="3"/>
        <v>10816</v>
      </c>
    </row>
    <row r="199" spans="1:9" x14ac:dyDescent="0.25">
      <c r="A199" s="2" t="s">
        <v>131</v>
      </c>
      <c r="B199" s="2" t="s">
        <v>127</v>
      </c>
      <c r="C199" s="2" t="s">
        <v>21</v>
      </c>
      <c r="D199" s="2" t="s">
        <v>25</v>
      </c>
      <c r="E199" s="3" t="s">
        <v>13</v>
      </c>
      <c r="F199" s="2" t="s">
        <v>26</v>
      </c>
      <c r="G199" s="4">
        <v>195</v>
      </c>
      <c r="H199" s="5">
        <v>55</v>
      </c>
      <c r="I199" s="47">
        <f t="shared" si="3"/>
        <v>10725</v>
      </c>
    </row>
    <row r="200" spans="1:9" x14ac:dyDescent="0.25">
      <c r="A200" s="6" t="s">
        <v>130</v>
      </c>
      <c r="B200" s="6" t="s">
        <v>127</v>
      </c>
      <c r="C200" s="6" t="s">
        <v>21</v>
      </c>
      <c r="D200" s="6" t="s">
        <v>28</v>
      </c>
      <c r="E200" s="3" t="s">
        <v>13</v>
      </c>
      <c r="F200" s="6" t="s">
        <v>29</v>
      </c>
      <c r="G200" s="7">
        <v>426</v>
      </c>
      <c r="H200" s="8">
        <v>12</v>
      </c>
      <c r="I200" s="48">
        <f t="shared" si="3"/>
        <v>5112</v>
      </c>
    </row>
    <row r="201" spans="1:9" x14ac:dyDescent="0.25">
      <c r="A201" s="2" t="s">
        <v>130</v>
      </c>
      <c r="B201" s="2" t="s">
        <v>127</v>
      </c>
      <c r="C201" s="2" t="s">
        <v>30</v>
      </c>
      <c r="D201" s="2" t="s">
        <v>31</v>
      </c>
      <c r="E201" s="3" t="s">
        <v>13</v>
      </c>
      <c r="F201" s="2" t="s">
        <v>32</v>
      </c>
      <c r="G201" s="4">
        <v>640</v>
      </c>
      <c r="H201" s="5">
        <v>47</v>
      </c>
      <c r="I201" s="47">
        <f t="shared" si="3"/>
        <v>30080</v>
      </c>
    </row>
    <row r="202" spans="1:9" x14ac:dyDescent="0.25">
      <c r="A202" s="6" t="s">
        <v>132</v>
      </c>
      <c r="B202" s="6" t="s">
        <v>127</v>
      </c>
      <c r="C202" s="6" t="s">
        <v>30</v>
      </c>
      <c r="D202" s="6" t="s">
        <v>33</v>
      </c>
      <c r="E202" s="3" t="s">
        <v>13</v>
      </c>
      <c r="F202" s="6" t="s">
        <v>34</v>
      </c>
      <c r="G202" s="7">
        <v>193</v>
      </c>
      <c r="H202" s="8">
        <v>52</v>
      </c>
      <c r="I202" s="48">
        <f t="shared" si="3"/>
        <v>10036</v>
      </c>
    </row>
    <row r="203" spans="1:9" x14ac:dyDescent="0.25">
      <c r="A203" s="2" t="s">
        <v>130</v>
      </c>
      <c r="B203" s="2" t="s">
        <v>127</v>
      </c>
      <c r="C203" s="2" t="s">
        <v>36</v>
      </c>
      <c r="D203" s="2" t="s">
        <v>37</v>
      </c>
      <c r="E203" s="3" t="s">
        <v>13</v>
      </c>
      <c r="F203" s="2" t="s">
        <v>38</v>
      </c>
      <c r="G203" s="4">
        <v>4</v>
      </c>
      <c r="H203" s="5">
        <v>1800</v>
      </c>
      <c r="I203" s="47">
        <f t="shared" si="3"/>
        <v>7200</v>
      </c>
    </row>
    <row r="204" spans="1:9" x14ac:dyDescent="0.25">
      <c r="A204" s="6" t="s">
        <v>132</v>
      </c>
      <c r="B204" s="6" t="s">
        <v>127</v>
      </c>
      <c r="C204" s="6" t="s">
        <v>36</v>
      </c>
      <c r="D204" s="6" t="s">
        <v>39</v>
      </c>
      <c r="E204" s="3" t="s">
        <v>13</v>
      </c>
      <c r="F204" s="6" t="s">
        <v>40</v>
      </c>
      <c r="G204" s="7">
        <v>6</v>
      </c>
      <c r="H204" s="8">
        <v>650</v>
      </c>
      <c r="I204" s="48">
        <f t="shared" si="3"/>
        <v>3900</v>
      </c>
    </row>
    <row r="205" spans="1:9" x14ac:dyDescent="0.25">
      <c r="A205" s="2" t="s">
        <v>132</v>
      </c>
      <c r="B205" s="2" t="s">
        <v>127</v>
      </c>
      <c r="C205" s="2" t="s">
        <v>41</v>
      </c>
      <c r="D205" s="2" t="s">
        <v>42</v>
      </c>
      <c r="E205" s="9" t="s">
        <v>43</v>
      </c>
      <c r="F205" s="2" t="s">
        <v>44</v>
      </c>
      <c r="G205" s="4">
        <v>1</v>
      </c>
      <c r="H205" s="5">
        <v>20467.63</v>
      </c>
      <c r="I205" s="47">
        <f t="shared" si="3"/>
        <v>20467.63</v>
      </c>
    </row>
    <row r="206" spans="1:9" x14ac:dyDescent="0.25">
      <c r="A206" s="6" t="s">
        <v>131</v>
      </c>
      <c r="B206" s="6" t="s">
        <v>127</v>
      </c>
      <c r="C206" s="6" t="s">
        <v>41</v>
      </c>
      <c r="D206" s="6" t="s">
        <v>45</v>
      </c>
      <c r="E206" s="9" t="s">
        <v>43</v>
      </c>
      <c r="F206" s="6" t="s">
        <v>46</v>
      </c>
      <c r="G206" s="7">
        <v>1</v>
      </c>
      <c r="H206" s="8">
        <v>5817.29</v>
      </c>
      <c r="I206" s="48">
        <f t="shared" si="3"/>
        <v>5817.29</v>
      </c>
    </row>
    <row r="207" spans="1:9" x14ac:dyDescent="0.25">
      <c r="A207" s="2" t="s">
        <v>126</v>
      </c>
      <c r="B207" s="2" t="s">
        <v>127</v>
      </c>
      <c r="C207" s="2" t="s">
        <v>41</v>
      </c>
      <c r="D207" s="2" t="s">
        <v>47</v>
      </c>
      <c r="E207" s="9" t="s">
        <v>43</v>
      </c>
      <c r="F207" s="2" t="s">
        <v>48</v>
      </c>
      <c r="G207" s="4">
        <v>1</v>
      </c>
      <c r="H207" s="5">
        <v>5552.18</v>
      </c>
      <c r="I207" s="47">
        <f t="shared" si="3"/>
        <v>5552.18</v>
      </c>
    </row>
    <row r="208" spans="1:9" x14ac:dyDescent="0.25">
      <c r="A208" s="6" t="s">
        <v>128</v>
      </c>
      <c r="B208" s="6" t="s">
        <v>127</v>
      </c>
      <c r="C208" s="6" t="s">
        <v>41</v>
      </c>
      <c r="D208" s="6" t="s">
        <v>49</v>
      </c>
      <c r="E208" s="9" t="s">
        <v>43</v>
      </c>
      <c r="F208" s="6" t="s">
        <v>50</v>
      </c>
      <c r="G208" s="7">
        <v>1</v>
      </c>
      <c r="H208" s="8">
        <v>11230.3</v>
      </c>
      <c r="I208" s="48">
        <f t="shared" si="3"/>
        <v>11230.3</v>
      </c>
    </row>
    <row r="209" spans="1:9" x14ac:dyDescent="0.25">
      <c r="A209" s="2" t="s">
        <v>126</v>
      </c>
      <c r="B209" s="2" t="s">
        <v>127</v>
      </c>
      <c r="C209" s="2" t="s">
        <v>51</v>
      </c>
      <c r="D209" s="2" t="s">
        <v>52</v>
      </c>
      <c r="E209" s="9" t="s">
        <v>43</v>
      </c>
      <c r="F209" s="2" t="s">
        <v>53</v>
      </c>
      <c r="G209" s="4">
        <v>1</v>
      </c>
      <c r="H209" s="5">
        <v>16246.83</v>
      </c>
      <c r="I209" s="47">
        <f t="shared" si="3"/>
        <v>16246.83</v>
      </c>
    </row>
    <row r="210" spans="1:9" x14ac:dyDescent="0.25">
      <c r="A210" s="6" t="s">
        <v>126</v>
      </c>
      <c r="B210" s="6" t="s">
        <v>127</v>
      </c>
      <c r="C210" s="6" t="s">
        <v>51</v>
      </c>
      <c r="D210" s="6" t="s">
        <v>54</v>
      </c>
      <c r="E210" s="9" t="s">
        <v>43</v>
      </c>
      <c r="F210" s="6" t="s">
        <v>55</v>
      </c>
      <c r="G210" s="7">
        <v>1</v>
      </c>
      <c r="H210" s="8">
        <v>9973.93</v>
      </c>
      <c r="I210" s="48">
        <f t="shared" si="3"/>
        <v>9973.93</v>
      </c>
    </row>
    <row r="211" spans="1:9" x14ac:dyDescent="0.25">
      <c r="A211" s="2" t="s">
        <v>131</v>
      </c>
      <c r="B211" s="2" t="s">
        <v>127</v>
      </c>
      <c r="C211" s="2" t="s">
        <v>51</v>
      </c>
      <c r="D211" s="2" t="s">
        <v>56</v>
      </c>
      <c r="E211" s="9" t="s">
        <v>43</v>
      </c>
      <c r="F211" s="2" t="s">
        <v>57</v>
      </c>
      <c r="G211" s="4">
        <v>1</v>
      </c>
      <c r="H211" s="5">
        <v>4018.98</v>
      </c>
      <c r="I211" s="47">
        <f t="shared" si="3"/>
        <v>4018.98</v>
      </c>
    </row>
    <row r="212" spans="1:9" x14ac:dyDescent="0.25">
      <c r="A212" s="6" t="s">
        <v>126</v>
      </c>
      <c r="B212" s="6" t="s">
        <v>127</v>
      </c>
      <c r="C212" s="6" t="s">
        <v>51</v>
      </c>
      <c r="D212" s="6" t="s">
        <v>58</v>
      </c>
      <c r="E212" s="9" t="s">
        <v>43</v>
      </c>
      <c r="F212" s="6" t="s">
        <v>59</v>
      </c>
      <c r="G212" s="7">
        <v>1</v>
      </c>
      <c r="H212" s="8">
        <v>9255.18</v>
      </c>
      <c r="I212" s="48">
        <f t="shared" si="3"/>
        <v>9255.18</v>
      </c>
    </row>
    <row r="213" spans="1:9" x14ac:dyDescent="0.25">
      <c r="A213" s="2" t="s">
        <v>129</v>
      </c>
      <c r="B213" s="2" t="s">
        <v>127</v>
      </c>
      <c r="C213" s="2" t="s">
        <v>60</v>
      </c>
      <c r="D213" s="2" t="s">
        <v>61</v>
      </c>
      <c r="E213" s="9" t="s">
        <v>43</v>
      </c>
      <c r="F213" s="2" t="s">
        <v>62</v>
      </c>
      <c r="G213" s="4">
        <v>1</v>
      </c>
      <c r="H213" s="5">
        <v>10041.58</v>
      </c>
      <c r="I213" s="47">
        <f t="shared" si="3"/>
        <v>10041.58</v>
      </c>
    </row>
    <row r="214" spans="1:9" x14ac:dyDescent="0.25">
      <c r="A214" s="6" t="s">
        <v>132</v>
      </c>
      <c r="B214" s="6" t="s">
        <v>127</v>
      </c>
      <c r="C214" s="6" t="s">
        <v>60</v>
      </c>
      <c r="D214" s="6" t="s">
        <v>63</v>
      </c>
      <c r="E214" s="9" t="s">
        <v>43</v>
      </c>
      <c r="F214" s="6" t="s">
        <v>64</v>
      </c>
      <c r="G214" s="7">
        <v>1</v>
      </c>
      <c r="H214" s="8">
        <v>3582.21</v>
      </c>
      <c r="I214" s="48">
        <f t="shared" si="3"/>
        <v>3582.21</v>
      </c>
    </row>
    <row r="215" spans="1:9" x14ac:dyDescent="0.25">
      <c r="A215" s="2" t="s">
        <v>132</v>
      </c>
      <c r="B215" s="2" t="s">
        <v>127</v>
      </c>
      <c r="C215" s="2" t="s">
        <v>60</v>
      </c>
      <c r="D215" s="2" t="s">
        <v>65</v>
      </c>
      <c r="E215" s="9" t="s">
        <v>43</v>
      </c>
      <c r="F215" s="2" t="s">
        <v>66</v>
      </c>
      <c r="G215" s="4">
        <v>1</v>
      </c>
      <c r="H215" s="5">
        <v>1632.19</v>
      </c>
      <c r="I215" s="47">
        <f t="shared" si="3"/>
        <v>1632.19</v>
      </c>
    </row>
    <row r="216" spans="1:9" x14ac:dyDescent="0.25">
      <c r="A216" s="6" t="s">
        <v>132</v>
      </c>
      <c r="B216" s="6" t="s">
        <v>127</v>
      </c>
      <c r="C216" s="6" t="s">
        <v>60</v>
      </c>
      <c r="D216" s="6" t="s">
        <v>67</v>
      </c>
      <c r="E216" s="9" t="s">
        <v>43</v>
      </c>
      <c r="F216" s="6" t="s">
        <v>68</v>
      </c>
      <c r="G216" s="7">
        <v>1</v>
      </c>
      <c r="H216" s="8">
        <v>570.41999999999996</v>
      </c>
      <c r="I216" s="48">
        <f t="shared" si="3"/>
        <v>570.41999999999996</v>
      </c>
    </row>
    <row r="217" spans="1:9" x14ac:dyDescent="0.25">
      <c r="A217" s="2" t="s">
        <v>126</v>
      </c>
      <c r="B217" s="2" t="s">
        <v>127</v>
      </c>
      <c r="C217" s="2" t="s">
        <v>60</v>
      </c>
      <c r="D217" s="2" t="s">
        <v>69</v>
      </c>
      <c r="E217" s="9" t="s">
        <v>43</v>
      </c>
      <c r="F217" s="2" t="s">
        <v>70</v>
      </c>
      <c r="G217" s="4">
        <v>1</v>
      </c>
      <c r="H217" s="5">
        <v>355.55</v>
      </c>
      <c r="I217" s="47">
        <f t="shared" si="3"/>
        <v>355.55</v>
      </c>
    </row>
    <row r="218" spans="1:9" x14ac:dyDescent="0.25">
      <c r="A218" s="6" t="s">
        <v>131</v>
      </c>
      <c r="B218" s="6" t="s">
        <v>127</v>
      </c>
      <c r="C218" s="6" t="s">
        <v>71</v>
      </c>
      <c r="D218" s="6" t="s">
        <v>72</v>
      </c>
      <c r="E218" s="9" t="s">
        <v>43</v>
      </c>
      <c r="F218" s="6" t="s">
        <v>73</v>
      </c>
      <c r="G218" s="7">
        <v>1</v>
      </c>
      <c r="H218" s="8">
        <v>2074.06</v>
      </c>
      <c r="I218" s="48">
        <f t="shared" si="3"/>
        <v>2074.06</v>
      </c>
    </row>
    <row r="219" spans="1:9" x14ac:dyDescent="0.25">
      <c r="A219" s="2" t="s">
        <v>130</v>
      </c>
      <c r="B219" s="2" t="s">
        <v>127</v>
      </c>
      <c r="C219" s="2" t="s">
        <v>71</v>
      </c>
      <c r="D219" s="2" t="s">
        <v>74</v>
      </c>
      <c r="E219" s="9" t="s">
        <v>43</v>
      </c>
      <c r="F219" s="2" t="s">
        <v>75</v>
      </c>
      <c r="G219" s="4">
        <v>1</v>
      </c>
      <c r="H219" s="5">
        <v>724.69</v>
      </c>
      <c r="I219" s="47">
        <f t="shared" si="3"/>
        <v>724.69</v>
      </c>
    </row>
    <row r="220" spans="1:9" x14ac:dyDescent="0.25">
      <c r="A220" s="6" t="s">
        <v>128</v>
      </c>
      <c r="B220" s="6" t="s">
        <v>127</v>
      </c>
      <c r="C220" s="6" t="s">
        <v>71</v>
      </c>
      <c r="D220" s="6" t="s">
        <v>76</v>
      </c>
      <c r="E220" s="9" t="s">
        <v>43</v>
      </c>
      <c r="F220" s="6" t="s">
        <v>77</v>
      </c>
      <c r="G220" s="7">
        <v>1</v>
      </c>
      <c r="H220" s="8">
        <v>437.85</v>
      </c>
      <c r="I220" s="48">
        <f t="shared" si="3"/>
        <v>437.85</v>
      </c>
    </row>
    <row r="221" spans="1:9" x14ac:dyDescent="0.25">
      <c r="A221" s="2" t="s">
        <v>129</v>
      </c>
      <c r="B221" s="2" t="s">
        <v>127</v>
      </c>
      <c r="C221" s="2" t="s">
        <v>71</v>
      </c>
      <c r="D221" s="2" t="s">
        <v>78</v>
      </c>
      <c r="E221" s="9" t="s">
        <v>43</v>
      </c>
      <c r="F221" s="2" t="s">
        <v>79</v>
      </c>
      <c r="G221" s="4">
        <v>1</v>
      </c>
      <c r="H221" s="5">
        <v>1069.92</v>
      </c>
      <c r="I221" s="47">
        <f t="shared" si="3"/>
        <v>1069.92</v>
      </c>
    </row>
    <row r="222" spans="1:9" x14ac:dyDescent="0.25">
      <c r="A222" s="6" t="s">
        <v>129</v>
      </c>
      <c r="B222" s="6" t="s">
        <v>127</v>
      </c>
      <c r="C222" s="6" t="s">
        <v>80</v>
      </c>
      <c r="D222" s="6" t="s">
        <v>81</v>
      </c>
      <c r="E222" s="9" t="s">
        <v>43</v>
      </c>
      <c r="F222" s="6" t="s">
        <v>82</v>
      </c>
      <c r="G222" s="7">
        <v>1</v>
      </c>
      <c r="H222" s="8">
        <v>1409.49</v>
      </c>
      <c r="I222" s="48">
        <f t="shared" si="3"/>
        <v>1409.49</v>
      </c>
    </row>
    <row r="223" spans="1:9" x14ac:dyDescent="0.25">
      <c r="A223" s="2" t="s">
        <v>128</v>
      </c>
      <c r="B223" s="2" t="s">
        <v>127</v>
      </c>
      <c r="C223" s="2" t="s">
        <v>80</v>
      </c>
      <c r="D223" s="2" t="s">
        <v>83</v>
      </c>
      <c r="E223" s="9" t="s">
        <v>43</v>
      </c>
      <c r="F223" s="2" t="s">
        <v>84</v>
      </c>
      <c r="G223" s="4">
        <v>1</v>
      </c>
      <c r="H223" s="5">
        <v>919.68</v>
      </c>
      <c r="I223" s="47">
        <f t="shared" si="3"/>
        <v>919.68</v>
      </c>
    </row>
    <row r="224" spans="1:9" x14ac:dyDescent="0.25">
      <c r="A224" s="6" t="s">
        <v>128</v>
      </c>
      <c r="B224" s="6" t="s">
        <v>127</v>
      </c>
      <c r="C224" s="6" t="s">
        <v>85</v>
      </c>
      <c r="D224" s="6" t="s">
        <v>86</v>
      </c>
      <c r="E224" s="9" t="s">
        <v>43</v>
      </c>
      <c r="F224" s="6" t="s">
        <v>87</v>
      </c>
      <c r="G224" s="7">
        <v>1</v>
      </c>
      <c r="H224" s="8">
        <v>8003.59</v>
      </c>
      <c r="I224" s="48">
        <f t="shared" si="3"/>
        <v>8003.59</v>
      </c>
    </row>
    <row r="225" spans="1:9" x14ac:dyDescent="0.25">
      <c r="A225" s="2" t="s">
        <v>130</v>
      </c>
      <c r="B225" s="2" t="s">
        <v>127</v>
      </c>
      <c r="C225" s="2" t="s">
        <v>85</v>
      </c>
      <c r="D225" s="2" t="s">
        <v>88</v>
      </c>
      <c r="E225" s="9" t="s">
        <v>43</v>
      </c>
      <c r="F225" s="2" t="s">
        <v>89</v>
      </c>
      <c r="G225" s="4">
        <v>1</v>
      </c>
      <c r="H225" s="5">
        <v>4644.0600000000004</v>
      </c>
      <c r="I225" s="47">
        <f t="shared" si="3"/>
        <v>4644.0600000000004</v>
      </c>
    </row>
    <row r="226" spans="1:9" x14ac:dyDescent="0.25">
      <c r="A226" s="6" t="s">
        <v>126</v>
      </c>
      <c r="B226" s="6" t="s">
        <v>127</v>
      </c>
      <c r="C226" s="6" t="s">
        <v>85</v>
      </c>
      <c r="D226" s="6" t="s">
        <v>90</v>
      </c>
      <c r="E226" s="9" t="s">
        <v>43</v>
      </c>
      <c r="F226" s="6" t="s">
        <v>91</v>
      </c>
      <c r="G226" s="7">
        <v>1</v>
      </c>
      <c r="H226" s="8">
        <v>310.72000000000003</v>
      </c>
      <c r="I226" s="48">
        <f t="shared" si="3"/>
        <v>310.72000000000003</v>
      </c>
    </row>
    <row r="227" spans="1:9" x14ac:dyDescent="0.25">
      <c r="A227" s="2" t="s">
        <v>133</v>
      </c>
      <c r="B227" s="2" t="s">
        <v>134</v>
      </c>
      <c r="C227" s="2" t="s">
        <v>11</v>
      </c>
      <c r="D227" s="2" t="s">
        <v>12</v>
      </c>
      <c r="E227" s="3" t="s">
        <v>13</v>
      </c>
      <c r="F227" s="2" t="s">
        <v>14</v>
      </c>
      <c r="G227" s="4">
        <v>484</v>
      </c>
      <c r="H227" s="5">
        <v>58</v>
      </c>
      <c r="I227" s="47">
        <f t="shared" si="3"/>
        <v>28072</v>
      </c>
    </row>
    <row r="228" spans="1:9" x14ac:dyDescent="0.25">
      <c r="A228" s="6" t="s">
        <v>135</v>
      </c>
      <c r="B228" s="6" t="s">
        <v>134</v>
      </c>
      <c r="C228" s="6" t="s">
        <v>11</v>
      </c>
      <c r="D228" s="6" t="s">
        <v>15</v>
      </c>
      <c r="E228" s="3" t="s">
        <v>13</v>
      </c>
      <c r="F228" s="6" t="s">
        <v>16</v>
      </c>
      <c r="G228" s="7">
        <v>292</v>
      </c>
      <c r="H228" s="8">
        <v>24</v>
      </c>
      <c r="I228" s="48">
        <f t="shared" si="3"/>
        <v>7008</v>
      </c>
    </row>
    <row r="229" spans="1:9" x14ac:dyDescent="0.25">
      <c r="A229" s="2" t="s">
        <v>133</v>
      </c>
      <c r="B229" s="2" t="s">
        <v>134</v>
      </c>
      <c r="C229" s="2" t="s">
        <v>11</v>
      </c>
      <c r="D229" s="2" t="s">
        <v>18</v>
      </c>
      <c r="E229" s="3" t="s">
        <v>13</v>
      </c>
      <c r="F229" s="2" t="s">
        <v>19</v>
      </c>
      <c r="G229" s="4">
        <v>241</v>
      </c>
      <c r="H229" s="5">
        <v>18</v>
      </c>
      <c r="I229" s="47">
        <f t="shared" si="3"/>
        <v>4338</v>
      </c>
    </row>
    <row r="230" spans="1:9" x14ac:dyDescent="0.25">
      <c r="A230" s="6" t="s">
        <v>136</v>
      </c>
      <c r="B230" s="6" t="s">
        <v>134</v>
      </c>
      <c r="C230" s="6" t="s">
        <v>21</v>
      </c>
      <c r="D230" s="6" t="s">
        <v>22</v>
      </c>
      <c r="E230" s="3" t="s">
        <v>13</v>
      </c>
      <c r="F230" s="6" t="s">
        <v>23</v>
      </c>
      <c r="G230" s="7">
        <v>322</v>
      </c>
      <c r="H230" s="8">
        <v>32</v>
      </c>
      <c r="I230" s="48">
        <f t="shared" si="3"/>
        <v>10304</v>
      </c>
    </row>
    <row r="231" spans="1:9" x14ac:dyDescent="0.25">
      <c r="A231" s="2" t="s">
        <v>137</v>
      </c>
      <c r="B231" s="2" t="s">
        <v>134</v>
      </c>
      <c r="C231" s="2" t="s">
        <v>21</v>
      </c>
      <c r="D231" s="2" t="s">
        <v>25</v>
      </c>
      <c r="E231" s="3" t="s">
        <v>13</v>
      </c>
      <c r="F231" s="2" t="s">
        <v>26</v>
      </c>
      <c r="G231" s="4">
        <v>195</v>
      </c>
      <c r="H231" s="5">
        <v>55</v>
      </c>
      <c r="I231" s="47">
        <f t="shared" si="3"/>
        <v>10725</v>
      </c>
    </row>
    <row r="232" spans="1:9" x14ac:dyDescent="0.25">
      <c r="A232" s="6" t="s">
        <v>138</v>
      </c>
      <c r="B232" s="6" t="s">
        <v>134</v>
      </c>
      <c r="C232" s="6" t="s">
        <v>21</v>
      </c>
      <c r="D232" s="6" t="s">
        <v>28</v>
      </c>
      <c r="E232" s="3" t="s">
        <v>13</v>
      </c>
      <c r="F232" s="6" t="s">
        <v>29</v>
      </c>
      <c r="G232" s="7">
        <v>448</v>
      </c>
      <c r="H232" s="8">
        <v>12</v>
      </c>
      <c r="I232" s="48">
        <f t="shared" si="3"/>
        <v>5376</v>
      </c>
    </row>
    <row r="233" spans="1:9" x14ac:dyDescent="0.25">
      <c r="A233" s="2" t="s">
        <v>139</v>
      </c>
      <c r="B233" s="2" t="s">
        <v>134</v>
      </c>
      <c r="C233" s="2" t="s">
        <v>30</v>
      </c>
      <c r="D233" s="2" t="s">
        <v>31</v>
      </c>
      <c r="E233" s="3" t="s">
        <v>13</v>
      </c>
      <c r="F233" s="2" t="s">
        <v>32</v>
      </c>
      <c r="G233" s="4">
        <v>531</v>
      </c>
      <c r="H233" s="5">
        <v>47</v>
      </c>
      <c r="I233" s="47">
        <f t="shared" si="3"/>
        <v>24957</v>
      </c>
    </row>
    <row r="234" spans="1:9" x14ac:dyDescent="0.25">
      <c r="A234" s="6" t="s">
        <v>135</v>
      </c>
      <c r="B234" s="6" t="s">
        <v>134</v>
      </c>
      <c r="C234" s="6" t="s">
        <v>30</v>
      </c>
      <c r="D234" s="6" t="s">
        <v>33</v>
      </c>
      <c r="E234" s="3" t="s">
        <v>13</v>
      </c>
      <c r="F234" s="6" t="s">
        <v>34</v>
      </c>
      <c r="G234" s="7">
        <v>183</v>
      </c>
      <c r="H234" s="8">
        <v>52</v>
      </c>
      <c r="I234" s="48">
        <f t="shared" si="3"/>
        <v>9516</v>
      </c>
    </row>
    <row r="235" spans="1:9" x14ac:dyDescent="0.25">
      <c r="A235" s="2" t="s">
        <v>137</v>
      </c>
      <c r="B235" s="2" t="s">
        <v>134</v>
      </c>
      <c r="C235" s="2" t="s">
        <v>36</v>
      </c>
      <c r="D235" s="2" t="s">
        <v>37</v>
      </c>
      <c r="E235" s="3" t="s">
        <v>13</v>
      </c>
      <c r="F235" s="2" t="s">
        <v>38</v>
      </c>
      <c r="G235" s="4">
        <v>4</v>
      </c>
      <c r="H235" s="5">
        <v>1800</v>
      </c>
      <c r="I235" s="47">
        <f t="shared" si="3"/>
        <v>7200</v>
      </c>
    </row>
    <row r="236" spans="1:9" x14ac:dyDescent="0.25">
      <c r="A236" s="6" t="s">
        <v>138</v>
      </c>
      <c r="B236" s="6" t="s">
        <v>134</v>
      </c>
      <c r="C236" s="6" t="s">
        <v>36</v>
      </c>
      <c r="D236" s="6" t="s">
        <v>39</v>
      </c>
      <c r="E236" s="3" t="s">
        <v>13</v>
      </c>
      <c r="F236" s="6" t="s">
        <v>40</v>
      </c>
      <c r="G236" s="7">
        <v>6</v>
      </c>
      <c r="H236" s="8">
        <v>650</v>
      </c>
      <c r="I236" s="48">
        <f t="shared" si="3"/>
        <v>3900</v>
      </c>
    </row>
    <row r="237" spans="1:9" x14ac:dyDescent="0.25">
      <c r="A237" s="2" t="s">
        <v>137</v>
      </c>
      <c r="B237" s="2" t="s">
        <v>134</v>
      </c>
      <c r="C237" s="2" t="s">
        <v>41</v>
      </c>
      <c r="D237" s="2" t="s">
        <v>42</v>
      </c>
      <c r="E237" s="9" t="s">
        <v>43</v>
      </c>
      <c r="F237" s="2" t="s">
        <v>44</v>
      </c>
      <c r="G237" s="4">
        <v>1</v>
      </c>
      <c r="H237" s="5">
        <v>19641.400000000001</v>
      </c>
      <c r="I237" s="47">
        <f t="shared" si="3"/>
        <v>19641.400000000001</v>
      </c>
    </row>
    <row r="238" spans="1:9" x14ac:dyDescent="0.25">
      <c r="A238" s="6" t="s">
        <v>139</v>
      </c>
      <c r="B238" s="6" t="s">
        <v>134</v>
      </c>
      <c r="C238" s="6" t="s">
        <v>41</v>
      </c>
      <c r="D238" s="6" t="s">
        <v>45</v>
      </c>
      <c r="E238" s="9" t="s">
        <v>43</v>
      </c>
      <c r="F238" s="6" t="s">
        <v>46</v>
      </c>
      <c r="G238" s="7">
        <v>1</v>
      </c>
      <c r="H238" s="8">
        <v>5664.64</v>
      </c>
      <c r="I238" s="48">
        <f t="shared" si="3"/>
        <v>5664.64</v>
      </c>
    </row>
    <row r="239" spans="1:9" x14ac:dyDescent="0.25">
      <c r="A239" s="2" t="s">
        <v>135</v>
      </c>
      <c r="B239" s="2" t="s">
        <v>134</v>
      </c>
      <c r="C239" s="2" t="s">
        <v>41</v>
      </c>
      <c r="D239" s="2" t="s">
        <v>47</v>
      </c>
      <c r="E239" s="9" t="s">
        <v>43</v>
      </c>
      <c r="F239" s="2" t="s">
        <v>48</v>
      </c>
      <c r="G239" s="4">
        <v>1</v>
      </c>
      <c r="H239" s="5">
        <v>4984.13</v>
      </c>
      <c r="I239" s="47">
        <f t="shared" si="3"/>
        <v>4984.13</v>
      </c>
    </row>
    <row r="240" spans="1:9" x14ac:dyDescent="0.25">
      <c r="A240" s="6" t="s">
        <v>137</v>
      </c>
      <c r="B240" s="6" t="s">
        <v>134</v>
      </c>
      <c r="C240" s="6" t="s">
        <v>41</v>
      </c>
      <c r="D240" s="6" t="s">
        <v>49</v>
      </c>
      <c r="E240" s="9" t="s">
        <v>43</v>
      </c>
      <c r="F240" s="6" t="s">
        <v>50</v>
      </c>
      <c r="G240" s="7">
        <v>1</v>
      </c>
      <c r="H240" s="8">
        <v>10691.36</v>
      </c>
      <c r="I240" s="48">
        <f t="shared" si="3"/>
        <v>10691.36</v>
      </c>
    </row>
    <row r="241" spans="1:9" x14ac:dyDescent="0.25">
      <c r="A241" s="2" t="s">
        <v>138</v>
      </c>
      <c r="B241" s="2" t="s">
        <v>134</v>
      </c>
      <c r="C241" s="2" t="s">
        <v>51</v>
      </c>
      <c r="D241" s="2" t="s">
        <v>52</v>
      </c>
      <c r="E241" s="9" t="s">
        <v>43</v>
      </c>
      <c r="F241" s="2" t="s">
        <v>53</v>
      </c>
      <c r="G241" s="4">
        <v>1</v>
      </c>
      <c r="H241" s="5">
        <v>15383.01</v>
      </c>
      <c r="I241" s="47">
        <f t="shared" si="3"/>
        <v>15383.01</v>
      </c>
    </row>
    <row r="242" spans="1:9" x14ac:dyDescent="0.25">
      <c r="A242" s="6" t="s">
        <v>137</v>
      </c>
      <c r="B242" s="6" t="s">
        <v>134</v>
      </c>
      <c r="C242" s="6" t="s">
        <v>51</v>
      </c>
      <c r="D242" s="6" t="s">
        <v>54</v>
      </c>
      <c r="E242" s="9" t="s">
        <v>43</v>
      </c>
      <c r="F242" s="6" t="s">
        <v>55</v>
      </c>
      <c r="G242" s="7">
        <v>1</v>
      </c>
      <c r="H242" s="8">
        <v>8724.75</v>
      </c>
      <c r="I242" s="48">
        <f t="shared" si="3"/>
        <v>8724.75</v>
      </c>
    </row>
    <row r="243" spans="1:9" x14ac:dyDescent="0.25">
      <c r="A243" s="2" t="s">
        <v>135</v>
      </c>
      <c r="B243" s="2" t="s">
        <v>134</v>
      </c>
      <c r="C243" s="2" t="s">
        <v>51</v>
      </c>
      <c r="D243" s="2" t="s">
        <v>56</v>
      </c>
      <c r="E243" s="9" t="s">
        <v>43</v>
      </c>
      <c r="F243" s="2" t="s">
        <v>57</v>
      </c>
      <c r="G243" s="4">
        <v>1</v>
      </c>
      <c r="H243" s="5">
        <v>3798.38</v>
      </c>
      <c r="I243" s="47">
        <f t="shared" si="3"/>
        <v>3798.38</v>
      </c>
    </row>
    <row r="244" spans="1:9" x14ac:dyDescent="0.25">
      <c r="A244" s="6" t="s">
        <v>138</v>
      </c>
      <c r="B244" s="6" t="s">
        <v>134</v>
      </c>
      <c r="C244" s="6" t="s">
        <v>51</v>
      </c>
      <c r="D244" s="6" t="s">
        <v>58</v>
      </c>
      <c r="E244" s="9" t="s">
        <v>43</v>
      </c>
      <c r="F244" s="6" t="s">
        <v>59</v>
      </c>
      <c r="G244" s="7">
        <v>1</v>
      </c>
      <c r="H244" s="8">
        <v>8505.36</v>
      </c>
      <c r="I244" s="48">
        <f t="shared" si="3"/>
        <v>8505.36</v>
      </c>
    </row>
    <row r="245" spans="1:9" x14ac:dyDescent="0.25">
      <c r="A245" s="2" t="s">
        <v>139</v>
      </c>
      <c r="B245" s="2" t="s">
        <v>134</v>
      </c>
      <c r="C245" s="2" t="s">
        <v>60</v>
      </c>
      <c r="D245" s="2" t="s">
        <v>61</v>
      </c>
      <c r="E245" s="9" t="s">
        <v>43</v>
      </c>
      <c r="F245" s="2" t="s">
        <v>62</v>
      </c>
      <c r="G245" s="4">
        <v>1</v>
      </c>
      <c r="H245" s="5">
        <v>9286.5</v>
      </c>
      <c r="I245" s="47">
        <f t="shared" si="3"/>
        <v>9286.5</v>
      </c>
    </row>
    <row r="246" spans="1:9" x14ac:dyDescent="0.25">
      <c r="A246" s="6" t="s">
        <v>139</v>
      </c>
      <c r="B246" s="6" t="s">
        <v>134</v>
      </c>
      <c r="C246" s="6" t="s">
        <v>60</v>
      </c>
      <c r="D246" s="6" t="s">
        <v>63</v>
      </c>
      <c r="E246" s="9" t="s">
        <v>43</v>
      </c>
      <c r="F246" s="6" t="s">
        <v>64</v>
      </c>
      <c r="G246" s="7">
        <v>1</v>
      </c>
      <c r="H246" s="8">
        <v>3349.27</v>
      </c>
      <c r="I246" s="48">
        <f t="shared" si="3"/>
        <v>3349.27</v>
      </c>
    </row>
    <row r="247" spans="1:9" x14ac:dyDescent="0.25">
      <c r="A247" s="2" t="s">
        <v>133</v>
      </c>
      <c r="B247" s="2" t="s">
        <v>134</v>
      </c>
      <c r="C247" s="2" t="s">
        <v>60</v>
      </c>
      <c r="D247" s="2" t="s">
        <v>65</v>
      </c>
      <c r="E247" s="9" t="s">
        <v>43</v>
      </c>
      <c r="F247" s="2" t="s">
        <v>66</v>
      </c>
      <c r="G247" s="4">
        <v>1</v>
      </c>
      <c r="H247" s="5">
        <v>1461.31</v>
      </c>
      <c r="I247" s="47">
        <f t="shared" si="3"/>
        <v>1461.31</v>
      </c>
    </row>
    <row r="248" spans="1:9" x14ac:dyDescent="0.25">
      <c r="A248" s="6" t="s">
        <v>139</v>
      </c>
      <c r="B248" s="6" t="s">
        <v>134</v>
      </c>
      <c r="C248" s="6" t="s">
        <v>60</v>
      </c>
      <c r="D248" s="6" t="s">
        <v>67</v>
      </c>
      <c r="E248" s="9" t="s">
        <v>43</v>
      </c>
      <c r="F248" s="6" t="s">
        <v>68</v>
      </c>
      <c r="G248" s="7">
        <v>1</v>
      </c>
      <c r="H248" s="8">
        <v>513</v>
      </c>
      <c r="I248" s="48">
        <f t="shared" si="3"/>
        <v>513</v>
      </c>
    </row>
    <row r="249" spans="1:9" x14ac:dyDescent="0.25">
      <c r="A249" s="2" t="s">
        <v>139</v>
      </c>
      <c r="B249" s="2" t="s">
        <v>134</v>
      </c>
      <c r="C249" s="2" t="s">
        <v>60</v>
      </c>
      <c r="D249" s="2" t="s">
        <v>69</v>
      </c>
      <c r="E249" s="9" t="s">
        <v>43</v>
      </c>
      <c r="F249" s="2" t="s">
        <v>70</v>
      </c>
      <c r="G249" s="4">
        <v>1</v>
      </c>
      <c r="H249" s="5">
        <v>347.21</v>
      </c>
      <c r="I249" s="47">
        <f t="shared" si="3"/>
        <v>347.21</v>
      </c>
    </row>
    <row r="250" spans="1:9" x14ac:dyDescent="0.25">
      <c r="A250" s="6" t="s">
        <v>133</v>
      </c>
      <c r="B250" s="6" t="s">
        <v>134</v>
      </c>
      <c r="C250" s="6" t="s">
        <v>71</v>
      </c>
      <c r="D250" s="6" t="s">
        <v>72</v>
      </c>
      <c r="E250" s="9" t="s">
        <v>43</v>
      </c>
      <c r="F250" s="6" t="s">
        <v>73</v>
      </c>
      <c r="G250" s="7">
        <v>1</v>
      </c>
      <c r="H250" s="8">
        <v>1985.63</v>
      </c>
      <c r="I250" s="48">
        <f t="shared" si="3"/>
        <v>1985.63</v>
      </c>
    </row>
    <row r="251" spans="1:9" x14ac:dyDescent="0.25">
      <c r="A251" s="2" t="s">
        <v>133</v>
      </c>
      <c r="B251" s="2" t="s">
        <v>134</v>
      </c>
      <c r="C251" s="2" t="s">
        <v>71</v>
      </c>
      <c r="D251" s="2" t="s">
        <v>74</v>
      </c>
      <c r="E251" s="9" t="s">
        <v>43</v>
      </c>
      <c r="F251" s="2" t="s">
        <v>75</v>
      </c>
      <c r="G251" s="4">
        <v>1</v>
      </c>
      <c r="H251" s="5">
        <v>656.89</v>
      </c>
      <c r="I251" s="47">
        <f t="shared" si="3"/>
        <v>656.89</v>
      </c>
    </row>
    <row r="252" spans="1:9" x14ac:dyDescent="0.25">
      <c r="A252" s="6" t="s">
        <v>138</v>
      </c>
      <c r="B252" s="6" t="s">
        <v>134</v>
      </c>
      <c r="C252" s="6" t="s">
        <v>71</v>
      </c>
      <c r="D252" s="6" t="s">
        <v>76</v>
      </c>
      <c r="E252" s="9" t="s">
        <v>43</v>
      </c>
      <c r="F252" s="6" t="s">
        <v>77</v>
      </c>
      <c r="G252" s="7">
        <v>1</v>
      </c>
      <c r="H252" s="8">
        <v>405.31</v>
      </c>
      <c r="I252" s="48">
        <f t="shared" si="3"/>
        <v>405.31</v>
      </c>
    </row>
    <row r="253" spans="1:9" x14ac:dyDescent="0.25">
      <c r="A253" s="2" t="s">
        <v>137</v>
      </c>
      <c r="B253" s="2" t="s">
        <v>134</v>
      </c>
      <c r="C253" s="2" t="s">
        <v>71</v>
      </c>
      <c r="D253" s="2" t="s">
        <v>78</v>
      </c>
      <c r="E253" s="9" t="s">
        <v>43</v>
      </c>
      <c r="F253" s="2" t="s">
        <v>79</v>
      </c>
      <c r="G253" s="4">
        <v>1</v>
      </c>
      <c r="H253" s="5">
        <v>1007.39</v>
      </c>
      <c r="I253" s="47">
        <f t="shared" si="3"/>
        <v>1007.39</v>
      </c>
    </row>
    <row r="254" spans="1:9" x14ac:dyDescent="0.25">
      <c r="A254" s="6" t="s">
        <v>138</v>
      </c>
      <c r="B254" s="6" t="s">
        <v>134</v>
      </c>
      <c r="C254" s="6" t="s">
        <v>80</v>
      </c>
      <c r="D254" s="6" t="s">
        <v>81</v>
      </c>
      <c r="E254" s="9" t="s">
        <v>43</v>
      </c>
      <c r="F254" s="6" t="s">
        <v>82</v>
      </c>
      <c r="G254" s="7">
        <v>1</v>
      </c>
      <c r="H254" s="8">
        <v>1250.8399999999999</v>
      </c>
      <c r="I254" s="48">
        <f t="shared" si="3"/>
        <v>1250.8399999999999</v>
      </c>
    </row>
    <row r="255" spans="1:9" x14ac:dyDescent="0.25">
      <c r="A255" s="2" t="s">
        <v>135</v>
      </c>
      <c r="B255" s="2" t="s">
        <v>134</v>
      </c>
      <c r="C255" s="2" t="s">
        <v>80</v>
      </c>
      <c r="D255" s="2" t="s">
        <v>83</v>
      </c>
      <c r="E255" s="9" t="s">
        <v>43</v>
      </c>
      <c r="F255" s="2" t="s">
        <v>84</v>
      </c>
      <c r="G255" s="4">
        <v>1</v>
      </c>
      <c r="H255" s="5">
        <v>844.63</v>
      </c>
      <c r="I255" s="47">
        <f t="shared" si="3"/>
        <v>844.63</v>
      </c>
    </row>
    <row r="256" spans="1:9" x14ac:dyDescent="0.25">
      <c r="A256" s="6" t="s">
        <v>135</v>
      </c>
      <c r="B256" s="6" t="s">
        <v>134</v>
      </c>
      <c r="C256" s="6" t="s">
        <v>85</v>
      </c>
      <c r="D256" s="6" t="s">
        <v>86</v>
      </c>
      <c r="E256" s="9" t="s">
        <v>43</v>
      </c>
      <c r="F256" s="6" t="s">
        <v>87</v>
      </c>
      <c r="G256" s="7">
        <v>1</v>
      </c>
      <c r="H256" s="8">
        <v>7415.04</v>
      </c>
      <c r="I256" s="48">
        <f t="shared" si="3"/>
        <v>7415.04</v>
      </c>
    </row>
    <row r="257" spans="1:9" x14ac:dyDescent="0.25">
      <c r="A257" s="2" t="s">
        <v>136</v>
      </c>
      <c r="B257" s="2" t="s">
        <v>134</v>
      </c>
      <c r="C257" s="2" t="s">
        <v>85</v>
      </c>
      <c r="D257" s="2" t="s">
        <v>88</v>
      </c>
      <c r="E257" s="9" t="s">
        <v>43</v>
      </c>
      <c r="F257" s="2" t="s">
        <v>89</v>
      </c>
      <c r="G257" s="4">
        <v>1</v>
      </c>
      <c r="H257" s="5">
        <v>4338.8</v>
      </c>
      <c r="I257" s="47">
        <f t="shared" si="3"/>
        <v>4338.8</v>
      </c>
    </row>
    <row r="258" spans="1:9" x14ac:dyDescent="0.25">
      <c r="A258" s="6" t="s">
        <v>137</v>
      </c>
      <c r="B258" s="6" t="s">
        <v>134</v>
      </c>
      <c r="C258" s="6" t="s">
        <v>85</v>
      </c>
      <c r="D258" s="6" t="s">
        <v>90</v>
      </c>
      <c r="E258" s="9" t="s">
        <v>43</v>
      </c>
      <c r="F258" s="6" t="s">
        <v>91</v>
      </c>
      <c r="G258" s="7">
        <v>1</v>
      </c>
      <c r="H258" s="8">
        <v>305.42</v>
      </c>
      <c r="I258" s="48">
        <f t="shared" si="3"/>
        <v>305.42</v>
      </c>
    </row>
    <row r="259" spans="1:9" x14ac:dyDescent="0.25">
      <c r="A259" s="2" t="s">
        <v>140</v>
      </c>
      <c r="B259" s="2" t="s">
        <v>141</v>
      </c>
      <c r="C259" s="2" t="s">
        <v>11</v>
      </c>
      <c r="D259" s="2" t="s">
        <v>12</v>
      </c>
      <c r="E259" s="3" t="s">
        <v>13</v>
      </c>
      <c r="F259" s="2" t="s">
        <v>14</v>
      </c>
      <c r="G259" s="4">
        <v>424</v>
      </c>
      <c r="H259" s="5">
        <v>58</v>
      </c>
      <c r="I259" s="47">
        <f t="shared" ref="I259:I322" si="4">G259*H259</f>
        <v>24592</v>
      </c>
    </row>
    <row r="260" spans="1:9" x14ac:dyDescent="0.25">
      <c r="A260" s="6" t="s">
        <v>142</v>
      </c>
      <c r="B260" s="6" t="s">
        <v>141</v>
      </c>
      <c r="C260" s="6" t="s">
        <v>11</v>
      </c>
      <c r="D260" s="6" t="s">
        <v>15</v>
      </c>
      <c r="E260" s="3" t="s">
        <v>13</v>
      </c>
      <c r="F260" s="6" t="s">
        <v>16</v>
      </c>
      <c r="G260" s="7">
        <v>287</v>
      </c>
      <c r="H260" s="8">
        <v>24</v>
      </c>
      <c r="I260" s="48">
        <f t="shared" si="4"/>
        <v>6888</v>
      </c>
    </row>
    <row r="261" spans="1:9" x14ac:dyDescent="0.25">
      <c r="A261" s="2" t="s">
        <v>143</v>
      </c>
      <c r="B261" s="2" t="s">
        <v>141</v>
      </c>
      <c r="C261" s="2" t="s">
        <v>11</v>
      </c>
      <c r="D261" s="2" t="s">
        <v>18</v>
      </c>
      <c r="E261" s="3" t="s">
        <v>13</v>
      </c>
      <c r="F261" s="2" t="s">
        <v>19</v>
      </c>
      <c r="G261" s="4">
        <v>223</v>
      </c>
      <c r="H261" s="5">
        <v>18</v>
      </c>
      <c r="I261" s="47">
        <f t="shared" si="4"/>
        <v>4014</v>
      </c>
    </row>
    <row r="262" spans="1:9" x14ac:dyDescent="0.25">
      <c r="A262" s="6" t="s">
        <v>143</v>
      </c>
      <c r="B262" s="6" t="s">
        <v>141</v>
      </c>
      <c r="C262" s="6" t="s">
        <v>21</v>
      </c>
      <c r="D262" s="6" t="s">
        <v>22</v>
      </c>
      <c r="E262" s="3" t="s">
        <v>13</v>
      </c>
      <c r="F262" s="6" t="s">
        <v>23</v>
      </c>
      <c r="G262" s="7">
        <v>330</v>
      </c>
      <c r="H262" s="8">
        <v>32</v>
      </c>
      <c r="I262" s="48">
        <f t="shared" si="4"/>
        <v>10560</v>
      </c>
    </row>
    <row r="263" spans="1:9" x14ac:dyDescent="0.25">
      <c r="A263" s="2" t="s">
        <v>144</v>
      </c>
      <c r="B263" s="2" t="s">
        <v>141</v>
      </c>
      <c r="C263" s="2" t="s">
        <v>21</v>
      </c>
      <c r="D263" s="2" t="s">
        <v>25</v>
      </c>
      <c r="E263" s="3" t="s">
        <v>13</v>
      </c>
      <c r="F263" s="2" t="s">
        <v>26</v>
      </c>
      <c r="G263" s="4">
        <v>191</v>
      </c>
      <c r="H263" s="5">
        <v>55</v>
      </c>
      <c r="I263" s="47">
        <f t="shared" si="4"/>
        <v>10505</v>
      </c>
    </row>
    <row r="264" spans="1:9" x14ac:dyDescent="0.25">
      <c r="A264" s="6" t="s">
        <v>145</v>
      </c>
      <c r="B264" s="6" t="s">
        <v>141</v>
      </c>
      <c r="C264" s="6" t="s">
        <v>21</v>
      </c>
      <c r="D264" s="6" t="s">
        <v>28</v>
      </c>
      <c r="E264" s="3" t="s">
        <v>13</v>
      </c>
      <c r="F264" s="6" t="s">
        <v>29</v>
      </c>
      <c r="G264" s="7">
        <v>408</v>
      </c>
      <c r="H264" s="8">
        <v>12</v>
      </c>
      <c r="I264" s="48">
        <f t="shared" si="4"/>
        <v>4896</v>
      </c>
    </row>
    <row r="265" spans="1:9" x14ac:dyDescent="0.25">
      <c r="A265" s="2" t="s">
        <v>144</v>
      </c>
      <c r="B265" s="2" t="s">
        <v>141</v>
      </c>
      <c r="C265" s="2" t="s">
        <v>30</v>
      </c>
      <c r="D265" s="2" t="s">
        <v>31</v>
      </c>
      <c r="E265" s="3" t="s">
        <v>13</v>
      </c>
      <c r="F265" s="2" t="s">
        <v>32</v>
      </c>
      <c r="G265" s="4">
        <v>525</v>
      </c>
      <c r="H265" s="5">
        <v>47</v>
      </c>
      <c r="I265" s="47">
        <f t="shared" si="4"/>
        <v>24675</v>
      </c>
    </row>
    <row r="266" spans="1:9" x14ac:dyDescent="0.25">
      <c r="A266" s="6" t="s">
        <v>146</v>
      </c>
      <c r="B266" s="6" t="s">
        <v>141</v>
      </c>
      <c r="C266" s="6" t="s">
        <v>30</v>
      </c>
      <c r="D266" s="6" t="s">
        <v>33</v>
      </c>
      <c r="E266" s="3" t="s">
        <v>13</v>
      </c>
      <c r="F266" s="6" t="s">
        <v>34</v>
      </c>
      <c r="G266" s="7">
        <v>184</v>
      </c>
      <c r="H266" s="8">
        <v>52</v>
      </c>
      <c r="I266" s="48">
        <f t="shared" si="4"/>
        <v>9568</v>
      </c>
    </row>
    <row r="267" spans="1:9" x14ac:dyDescent="0.25">
      <c r="A267" s="2" t="s">
        <v>142</v>
      </c>
      <c r="B267" s="2" t="s">
        <v>141</v>
      </c>
      <c r="C267" s="2" t="s">
        <v>36</v>
      </c>
      <c r="D267" s="2" t="s">
        <v>37</v>
      </c>
      <c r="E267" s="3" t="s">
        <v>13</v>
      </c>
      <c r="F267" s="2" t="s">
        <v>38</v>
      </c>
      <c r="G267" s="4">
        <v>4</v>
      </c>
      <c r="H267" s="5">
        <v>1800</v>
      </c>
      <c r="I267" s="47">
        <f t="shared" si="4"/>
        <v>7200</v>
      </c>
    </row>
    <row r="268" spans="1:9" x14ac:dyDescent="0.25">
      <c r="A268" s="6" t="s">
        <v>143</v>
      </c>
      <c r="B268" s="6" t="s">
        <v>141</v>
      </c>
      <c r="C268" s="6" t="s">
        <v>36</v>
      </c>
      <c r="D268" s="6" t="s">
        <v>39</v>
      </c>
      <c r="E268" s="3" t="s">
        <v>13</v>
      </c>
      <c r="F268" s="6" t="s">
        <v>40</v>
      </c>
      <c r="G268" s="7">
        <v>7</v>
      </c>
      <c r="H268" s="8">
        <v>650</v>
      </c>
      <c r="I268" s="48">
        <f t="shared" si="4"/>
        <v>4550</v>
      </c>
    </row>
    <row r="269" spans="1:9" x14ac:dyDescent="0.25">
      <c r="A269" s="2" t="s">
        <v>140</v>
      </c>
      <c r="B269" s="2" t="s">
        <v>141</v>
      </c>
      <c r="C269" s="2" t="s">
        <v>41</v>
      </c>
      <c r="D269" s="2" t="s">
        <v>42</v>
      </c>
      <c r="E269" s="9" t="s">
        <v>43</v>
      </c>
      <c r="F269" s="2" t="s">
        <v>44</v>
      </c>
      <c r="G269" s="4">
        <v>1</v>
      </c>
      <c r="H269" s="5">
        <v>19392.8</v>
      </c>
      <c r="I269" s="47">
        <f t="shared" si="4"/>
        <v>19392.8</v>
      </c>
    </row>
    <row r="270" spans="1:9" x14ac:dyDescent="0.25">
      <c r="A270" s="6" t="s">
        <v>143</v>
      </c>
      <c r="B270" s="6" t="s">
        <v>141</v>
      </c>
      <c r="C270" s="6" t="s">
        <v>41</v>
      </c>
      <c r="D270" s="6" t="s">
        <v>45</v>
      </c>
      <c r="E270" s="9" t="s">
        <v>43</v>
      </c>
      <c r="F270" s="6" t="s">
        <v>46</v>
      </c>
      <c r="G270" s="7">
        <v>1</v>
      </c>
      <c r="H270" s="8">
        <v>5420.75</v>
      </c>
      <c r="I270" s="48">
        <f t="shared" si="4"/>
        <v>5420.75</v>
      </c>
    </row>
    <row r="271" spans="1:9" x14ac:dyDescent="0.25">
      <c r="A271" s="2" t="s">
        <v>144</v>
      </c>
      <c r="B271" s="2" t="s">
        <v>141</v>
      </c>
      <c r="C271" s="2" t="s">
        <v>41</v>
      </c>
      <c r="D271" s="2" t="s">
        <v>47</v>
      </c>
      <c r="E271" s="9" t="s">
        <v>43</v>
      </c>
      <c r="F271" s="2" t="s">
        <v>48</v>
      </c>
      <c r="G271" s="4">
        <v>1</v>
      </c>
      <c r="H271" s="5">
        <v>4931.6499999999996</v>
      </c>
      <c r="I271" s="47">
        <f t="shared" si="4"/>
        <v>4931.6499999999996</v>
      </c>
    </row>
    <row r="272" spans="1:9" x14ac:dyDescent="0.25">
      <c r="A272" s="6" t="s">
        <v>140</v>
      </c>
      <c r="B272" s="6" t="s">
        <v>141</v>
      </c>
      <c r="C272" s="6" t="s">
        <v>41</v>
      </c>
      <c r="D272" s="6" t="s">
        <v>49</v>
      </c>
      <c r="E272" s="9" t="s">
        <v>43</v>
      </c>
      <c r="F272" s="6" t="s">
        <v>50</v>
      </c>
      <c r="G272" s="7">
        <v>1</v>
      </c>
      <c r="H272" s="8">
        <v>9755.7900000000009</v>
      </c>
      <c r="I272" s="48">
        <f t="shared" si="4"/>
        <v>9755.7900000000009</v>
      </c>
    </row>
    <row r="273" spans="1:9" x14ac:dyDescent="0.25">
      <c r="A273" s="2" t="s">
        <v>142</v>
      </c>
      <c r="B273" s="2" t="s">
        <v>141</v>
      </c>
      <c r="C273" s="2" t="s">
        <v>51</v>
      </c>
      <c r="D273" s="2" t="s">
        <v>52</v>
      </c>
      <c r="E273" s="9" t="s">
        <v>43</v>
      </c>
      <c r="F273" s="2" t="s">
        <v>53</v>
      </c>
      <c r="G273" s="4">
        <v>1</v>
      </c>
      <c r="H273" s="5">
        <v>14296.85</v>
      </c>
      <c r="I273" s="47">
        <f t="shared" si="4"/>
        <v>14296.85</v>
      </c>
    </row>
    <row r="274" spans="1:9" x14ac:dyDescent="0.25">
      <c r="A274" s="6" t="s">
        <v>143</v>
      </c>
      <c r="B274" s="6" t="s">
        <v>141</v>
      </c>
      <c r="C274" s="6" t="s">
        <v>51</v>
      </c>
      <c r="D274" s="6" t="s">
        <v>54</v>
      </c>
      <c r="E274" s="9" t="s">
        <v>43</v>
      </c>
      <c r="F274" s="6" t="s">
        <v>55</v>
      </c>
      <c r="G274" s="7">
        <v>1</v>
      </c>
      <c r="H274" s="8">
        <v>8283.6200000000008</v>
      </c>
      <c r="I274" s="48">
        <f t="shared" si="4"/>
        <v>8283.6200000000008</v>
      </c>
    </row>
    <row r="275" spans="1:9" x14ac:dyDescent="0.25">
      <c r="A275" s="2" t="s">
        <v>143</v>
      </c>
      <c r="B275" s="2" t="s">
        <v>141</v>
      </c>
      <c r="C275" s="2" t="s">
        <v>51</v>
      </c>
      <c r="D275" s="2" t="s">
        <v>56</v>
      </c>
      <c r="E275" s="9" t="s">
        <v>43</v>
      </c>
      <c r="F275" s="2" t="s">
        <v>57</v>
      </c>
      <c r="G275" s="4">
        <v>1</v>
      </c>
      <c r="H275" s="5">
        <v>3539.09</v>
      </c>
      <c r="I275" s="47">
        <f t="shared" si="4"/>
        <v>3539.09</v>
      </c>
    </row>
    <row r="276" spans="1:9" x14ac:dyDescent="0.25">
      <c r="A276" s="6" t="s">
        <v>140</v>
      </c>
      <c r="B276" s="6" t="s">
        <v>141</v>
      </c>
      <c r="C276" s="6" t="s">
        <v>51</v>
      </c>
      <c r="D276" s="6" t="s">
        <v>58</v>
      </c>
      <c r="E276" s="9" t="s">
        <v>43</v>
      </c>
      <c r="F276" s="6" t="s">
        <v>59</v>
      </c>
      <c r="G276" s="7">
        <v>1</v>
      </c>
      <c r="H276" s="8">
        <v>8041.44</v>
      </c>
      <c r="I276" s="48">
        <f t="shared" si="4"/>
        <v>8041.44</v>
      </c>
    </row>
    <row r="277" spans="1:9" x14ac:dyDescent="0.25">
      <c r="A277" s="2" t="s">
        <v>145</v>
      </c>
      <c r="B277" s="2" t="s">
        <v>141</v>
      </c>
      <c r="C277" s="2" t="s">
        <v>60</v>
      </c>
      <c r="D277" s="2" t="s">
        <v>61</v>
      </c>
      <c r="E277" s="9" t="s">
        <v>43</v>
      </c>
      <c r="F277" s="2" t="s">
        <v>62</v>
      </c>
      <c r="G277" s="4">
        <v>1</v>
      </c>
      <c r="H277" s="5">
        <v>8456.6299999999992</v>
      </c>
      <c r="I277" s="47">
        <f t="shared" si="4"/>
        <v>8456.6299999999992</v>
      </c>
    </row>
    <row r="278" spans="1:9" x14ac:dyDescent="0.25">
      <c r="A278" s="6" t="s">
        <v>142</v>
      </c>
      <c r="B278" s="6" t="s">
        <v>141</v>
      </c>
      <c r="C278" s="6" t="s">
        <v>60</v>
      </c>
      <c r="D278" s="6" t="s">
        <v>63</v>
      </c>
      <c r="E278" s="9" t="s">
        <v>43</v>
      </c>
      <c r="F278" s="6" t="s">
        <v>64</v>
      </c>
      <c r="G278" s="7">
        <v>1</v>
      </c>
      <c r="H278" s="8">
        <v>3305.17</v>
      </c>
      <c r="I278" s="48">
        <f t="shared" si="4"/>
        <v>3305.17</v>
      </c>
    </row>
    <row r="279" spans="1:9" x14ac:dyDescent="0.25">
      <c r="A279" s="2" t="s">
        <v>143</v>
      </c>
      <c r="B279" s="2" t="s">
        <v>141</v>
      </c>
      <c r="C279" s="2" t="s">
        <v>60</v>
      </c>
      <c r="D279" s="2" t="s">
        <v>65</v>
      </c>
      <c r="E279" s="9" t="s">
        <v>43</v>
      </c>
      <c r="F279" s="2" t="s">
        <v>66</v>
      </c>
      <c r="G279" s="4">
        <v>1</v>
      </c>
      <c r="H279" s="5">
        <v>1372.9</v>
      </c>
      <c r="I279" s="47">
        <f t="shared" si="4"/>
        <v>1372.9</v>
      </c>
    </row>
    <row r="280" spans="1:9" x14ac:dyDescent="0.25">
      <c r="A280" s="6" t="s">
        <v>146</v>
      </c>
      <c r="B280" s="6" t="s">
        <v>141</v>
      </c>
      <c r="C280" s="6" t="s">
        <v>60</v>
      </c>
      <c r="D280" s="6" t="s">
        <v>67</v>
      </c>
      <c r="E280" s="9" t="s">
        <v>43</v>
      </c>
      <c r="F280" s="6" t="s">
        <v>68</v>
      </c>
      <c r="G280" s="7">
        <v>1</v>
      </c>
      <c r="H280" s="8">
        <v>501.32</v>
      </c>
      <c r="I280" s="48">
        <f t="shared" si="4"/>
        <v>501.32</v>
      </c>
    </row>
    <row r="281" spans="1:9" x14ac:dyDescent="0.25">
      <c r="A281" s="2" t="s">
        <v>145</v>
      </c>
      <c r="B281" s="2" t="s">
        <v>141</v>
      </c>
      <c r="C281" s="2" t="s">
        <v>60</v>
      </c>
      <c r="D281" s="2" t="s">
        <v>69</v>
      </c>
      <c r="E281" s="9" t="s">
        <v>43</v>
      </c>
      <c r="F281" s="2" t="s">
        <v>70</v>
      </c>
      <c r="G281" s="4">
        <v>1</v>
      </c>
      <c r="H281" s="5">
        <v>318.66000000000003</v>
      </c>
      <c r="I281" s="47">
        <f t="shared" si="4"/>
        <v>318.66000000000003</v>
      </c>
    </row>
    <row r="282" spans="1:9" x14ac:dyDescent="0.25">
      <c r="A282" s="6" t="s">
        <v>143</v>
      </c>
      <c r="B282" s="6" t="s">
        <v>141</v>
      </c>
      <c r="C282" s="6" t="s">
        <v>71</v>
      </c>
      <c r="D282" s="6" t="s">
        <v>72</v>
      </c>
      <c r="E282" s="9" t="s">
        <v>43</v>
      </c>
      <c r="F282" s="6" t="s">
        <v>73</v>
      </c>
      <c r="G282" s="7">
        <v>1</v>
      </c>
      <c r="H282" s="8">
        <v>1908.46</v>
      </c>
      <c r="I282" s="48">
        <f t="shared" si="4"/>
        <v>1908.46</v>
      </c>
    </row>
    <row r="283" spans="1:9" x14ac:dyDescent="0.25">
      <c r="A283" s="2" t="s">
        <v>144</v>
      </c>
      <c r="B283" s="2" t="s">
        <v>141</v>
      </c>
      <c r="C283" s="2" t="s">
        <v>71</v>
      </c>
      <c r="D283" s="2" t="s">
        <v>74</v>
      </c>
      <c r="E283" s="9" t="s">
        <v>43</v>
      </c>
      <c r="F283" s="2" t="s">
        <v>75</v>
      </c>
      <c r="G283" s="4">
        <v>1</v>
      </c>
      <c r="H283" s="5">
        <v>657.56</v>
      </c>
      <c r="I283" s="47">
        <f t="shared" si="4"/>
        <v>657.56</v>
      </c>
    </row>
    <row r="284" spans="1:9" x14ac:dyDescent="0.25">
      <c r="A284" s="6" t="s">
        <v>146</v>
      </c>
      <c r="B284" s="6" t="s">
        <v>141</v>
      </c>
      <c r="C284" s="6" t="s">
        <v>71</v>
      </c>
      <c r="D284" s="6" t="s">
        <v>76</v>
      </c>
      <c r="E284" s="9" t="s">
        <v>43</v>
      </c>
      <c r="F284" s="6" t="s">
        <v>77</v>
      </c>
      <c r="G284" s="7">
        <v>1</v>
      </c>
      <c r="H284" s="8">
        <v>377.78</v>
      </c>
      <c r="I284" s="48">
        <f t="shared" si="4"/>
        <v>377.78</v>
      </c>
    </row>
    <row r="285" spans="1:9" x14ac:dyDescent="0.25">
      <c r="A285" s="2" t="s">
        <v>145</v>
      </c>
      <c r="B285" s="2" t="s">
        <v>141</v>
      </c>
      <c r="C285" s="2" t="s">
        <v>71</v>
      </c>
      <c r="D285" s="2" t="s">
        <v>78</v>
      </c>
      <c r="E285" s="9" t="s">
        <v>43</v>
      </c>
      <c r="F285" s="2" t="s">
        <v>79</v>
      </c>
      <c r="G285" s="4">
        <v>1</v>
      </c>
      <c r="H285" s="5">
        <v>993.73</v>
      </c>
      <c r="I285" s="47">
        <f t="shared" si="4"/>
        <v>993.73</v>
      </c>
    </row>
    <row r="286" spans="1:9" x14ac:dyDescent="0.25">
      <c r="A286" s="6" t="s">
        <v>146</v>
      </c>
      <c r="B286" s="6" t="s">
        <v>141</v>
      </c>
      <c r="C286" s="6" t="s">
        <v>80</v>
      </c>
      <c r="D286" s="6" t="s">
        <v>81</v>
      </c>
      <c r="E286" s="9" t="s">
        <v>43</v>
      </c>
      <c r="F286" s="6" t="s">
        <v>82</v>
      </c>
      <c r="G286" s="7">
        <v>1</v>
      </c>
      <c r="H286" s="8">
        <v>1203.1300000000001</v>
      </c>
      <c r="I286" s="48">
        <f t="shared" si="4"/>
        <v>1203.1300000000001</v>
      </c>
    </row>
    <row r="287" spans="1:9" x14ac:dyDescent="0.25">
      <c r="A287" s="2" t="s">
        <v>143</v>
      </c>
      <c r="B287" s="2" t="s">
        <v>141</v>
      </c>
      <c r="C287" s="2" t="s">
        <v>80</v>
      </c>
      <c r="D287" s="2" t="s">
        <v>83</v>
      </c>
      <c r="E287" s="9" t="s">
        <v>43</v>
      </c>
      <c r="F287" s="2" t="s">
        <v>84</v>
      </c>
      <c r="G287" s="4">
        <v>1</v>
      </c>
      <c r="H287" s="5">
        <v>829.43</v>
      </c>
      <c r="I287" s="47">
        <f t="shared" si="4"/>
        <v>829.43</v>
      </c>
    </row>
    <row r="288" spans="1:9" x14ac:dyDescent="0.25">
      <c r="A288" s="6" t="s">
        <v>146</v>
      </c>
      <c r="B288" s="6" t="s">
        <v>141</v>
      </c>
      <c r="C288" s="6" t="s">
        <v>85</v>
      </c>
      <c r="D288" s="6" t="s">
        <v>86</v>
      </c>
      <c r="E288" s="9" t="s">
        <v>43</v>
      </c>
      <c r="F288" s="6" t="s">
        <v>87</v>
      </c>
      <c r="G288" s="7">
        <v>1</v>
      </c>
      <c r="H288" s="8">
        <v>6830.44</v>
      </c>
      <c r="I288" s="48">
        <f t="shared" si="4"/>
        <v>6830.44</v>
      </c>
    </row>
    <row r="289" spans="1:9" x14ac:dyDescent="0.25">
      <c r="A289" s="2" t="s">
        <v>140</v>
      </c>
      <c r="B289" s="2" t="s">
        <v>141</v>
      </c>
      <c r="C289" s="2" t="s">
        <v>85</v>
      </c>
      <c r="D289" s="2" t="s">
        <v>88</v>
      </c>
      <c r="E289" s="9" t="s">
        <v>43</v>
      </c>
      <c r="F289" s="2" t="s">
        <v>89</v>
      </c>
      <c r="G289" s="4">
        <v>1</v>
      </c>
      <c r="H289" s="5">
        <v>4058.12</v>
      </c>
      <c r="I289" s="47">
        <f t="shared" si="4"/>
        <v>4058.12</v>
      </c>
    </row>
    <row r="290" spans="1:9" x14ac:dyDescent="0.25">
      <c r="A290" s="6" t="s">
        <v>143</v>
      </c>
      <c r="B290" s="6" t="s">
        <v>141</v>
      </c>
      <c r="C290" s="6" t="s">
        <v>85</v>
      </c>
      <c r="D290" s="6" t="s">
        <v>90</v>
      </c>
      <c r="E290" s="9" t="s">
        <v>43</v>
      </c>
      <c r="F290" s="6" t="s">
        <v>91</v>
      </c>
      <c r="G290" s="7">
        <v>1</v>
      </c>
      <c r="H290" s="8">
        <v>288.61</v>
      </c>
      <c r="I290" s="48">
        <f t="shared" si="4"/>
        <v>288.61</v>
      </c>
    </row>
    <row r="291" spans="1:9" x14ac:dyDescent="0.25">
      <c r="A291" s="2" t="s">
        <v>147</v>
      </c>
      <c r="B291" s="2" t="s">
        <v>148</v>
      </c>
      <c r="C291" s="2" t="s">
        <v>11</v>
      </c>
      <c r="D291" s="2" t="s">
        <v>12</v>
      </c>
      <c r="E291" s="3" t="s">
        <v>13</v>
      </c>
      <c r="F291" s="2" t="s">
        <v>14</v>
      </c>
      <c r="G291" s="4">
        <v>453</v>
      </c>
      <c r="H291" s="5">
        <v>58</v>
      </c>
      <c r="I291" s="47">
        <f t="shared" si="4"/>
        <v>26274</v>
      </c>
    </row>
    <row r="292" spans="1:9" x14ac:dyDescent="0.25">
      <c r="A292" s="6" t="s">
        <v>149</v>
      </c>
      <c r="B292" s="6" t="s">
        <v>148</v>
      </c>
      <c r="C292" s="6" t="s">
        <v>11</v>
      </c>
      <c r="D292" s="6" t="s">
        <v>15</v>
      </c>
      <c r="E292" s="3" t="s">
        <v>13</v>
      </c>
      <c r="F292" s="6" t="s">
        <v>16</v>
      </c>
      <c r="G292" s="7">
        <v>304</v>
      </c>
      <c r="H292" s="8">
        <v>24</v>
      </c>
      <c r="I292" s="48">
        <f t="shared" si="4"/>
        <v>7296</v>
      </c>
    </row>
    <row r="293" spans="1:9" x14ac:dyDescent="0.25">
      <c r="A293" s="2" t="s">
        <v>150</v>
      </c>
      <c r="B293" s="2" t="s">
        <v>148</v>
      </c>
      <c r="C293" s="2" t="s">
        <v>11</v>
      </c>
      <c r="D293" s="2" t="s">
        <v>18</v>
      </c>
      <c r="E293" s="3" t="s">
        <v>13</v>
      </c>
      <c r="F293" s="2" t="s">
        <v>19</v>
      </c>
      <c r="G293" s="4">
        <v>222</v>
      </c>
      <c r="H293" s="5">
        <v>18</v>
      </c>
      <c r="I293" s="47">
        <f t="shared" si="4"/>
        <v>3996</v>
      </c>
    </row>
    <row r="294" spans="1:9" x14ac:dyDescent="0.25">
      <c r="A294" s="6" t="s">
        <v>151</v>
      </c>
      <c r="B294" s="6" t="s">
        <v>148</v>
      </c>
      <c r="C294" s="6" t="s">
        <v>21</v>
      </c>
      <c r="D294" s="6" t="s">
        <v>22</v>
      </c>
      <c r="E294" s="3" t="s">
        <v>13</v>
      </c>
      <c r="F294" s="6" t="s">
        <v>23</v>
      </c>
      <c r="G294" s="7">
        <v>360</v>
      </c>
      <c r="H294" s="8">
        <v>32</v>
      </c>
      <c r="I294" s="48">
        <f t="shared" si="4"/>
        <v>11520</v>
      </c>
    </row>
    <row r="295" spans="1:9" x14ac:dyDescent="0.25">
      <c r="A295" s="2" t="s">
        <v>151</v>
      </c>
      <c r="B295" s="2" t="s">
        <v>148</v>
      </c>
      <c r="C295" s="2" t="s">
        <v>21</v>
      </c>
      <c r="D295" s="2" t="s">
        <v>25</v>
      </c>
      <c r="E295" s="3" t="s">
        <v>13</v>
      </c>
      <c r="F295" s="2" t="s">
        <v>26</v>
      </c>
      <c r="G295" s="4">
        <v>210</v>
      </c>
      <c r="H295" s="5">
        <v>55</v>
      </c>
      <c r="I295" s="47">
        <f t="shared" si="4"/>
        <v>11550</v>
      </c>
    </row>
    <row r="296" spans="1:9" x14ac:dyDescent="0.25">
      <c r="A296" s="6" t="s">
        <v>152</v>
      </c>
      <c r="B296" s="6" t="s">
        <v>148</v>
      </c>
      <c r="C296" s="6" t="s">
        <v>21</v>
      </c>
      <c r="D296" s="6" t="s">
        <v>28</v>
      </c>
      <c r="E296" s="3" t="s">
        <v>13</v>
      </c>
      <c r="F296" s="6" t="s">
        <v>29</v>
      </c>
      <c r="G296" s="7">
        <v>430</v>
      </c>
      <c r="H296" s="8">
        <v>12</v>
      </c>
      <c r="I296" s="48">
        <f t="shared" si="4"/>
        <v>5160</v>
      </c>
    </row>
    <row r="297" spans="1:9" x14ac:dyDescent="0.25">
      <c r="A297" s="2" t="s">
        <v>150</v>
      </c>
      <c r="B297" s="2" t="s">
        <v>148</v>
      </c>
      <c r="C297" s="2" t="s">
        <v>30</v>
      </c>
      <c r="D297" s="2" t="s">
        <v>31</v>
      </c>
      <c r="E297" s="3" t="s">
        <v>13</v>
      </c>
      <c r="F297" s="2" t="s">
        <v>32</v>
      </c>
      <c r="G297" s="4">
        <v>548</v>
      </c>
      <c r="H297" s="5">
        <v>47</v>
      </c>
      <c r="I297" s="47">
        <f t="shared" si="4"/>
        <v>25756</v>
      </c>
    </row>
    <row r="298" spans="1:9" x14ac:dyDescent="0.25">
      <c r="A298" s="6" t="s">
        <v>153</v>
      </c>
      <c r="B298" s="6" t="s">
        <v>148</v>
      </c>
      <c r="C298" s="6" t="s">
        <v>30</v>
      </c>
      <c r="D298" s="6" t="s">
        <v>33</v>
      </c>
      <c r="E298" s="3" t="s">
        <v>13</v>
      </c>
      <c r="F298" s="6" t="s">
        <v>34</v>
      </c>
      <c r="G298" s="7">
        <v>205</v>
      </c>
      <c r="H298" s="8">
        <v>52</v>
      </c>
      <c r="I298" s="48">
        <f t="shared" si="4"/>
        <v>10660</v>
      </c>
    </row>
    <row r="299" spans="1:9" x14ac:dyDescent="0.25">
      <c r="A299" s="2" t="s">
        <v>147</v>
      </c>
      <c r="B299" s="2" t="s">
        <v>148</v>
      </c>
      <c r="C299" s="2" t="s">
        <v>36</v>
      </c>
      <c r="D299" s="2" t="s">
        <v>37</v>
      </c>
      <c r="E299" s="3" t="s">
        <v>13</v>
      </c>
      <c r="F299" s="2" t="s">
        <v>38</v>
      </c>
      <c r="G299" s="4">
        <v>5</v>
      </c>
      <c r="H299" s="5">
        <v>1800</v>
      </c>
      <c r="I299" s="47">
        <f t="shared" si="4"/>
        <v>9000</v>
      </c>
    </row>
    <row r="300" spans="1:9" x14ac:dyDescent="0.25">
      <c r="A300" s="6" t="s">
        <v>152</v>
      </c>
      <c r="B300" s="6" t="s">
        <v>148</v>
      </c>
      <c r="C300" s="6" t="s">
        <v>36</v>
      </c>
      <c r="D300" s="6" t="s">
        <v>39</v>
      </c>
      <c r="E300" s="3" t="s">
        <v>13</v>
      </c>
      <c r="F300" s="6" t="s">
        <v>40</v>
      </c>
      <c r="G300" s="7">
        <v>7</v>
      </c>
      <c r="H300" s="8">
        <v>650</v>
      </c>
      <c r="I300" s="48">
        <f t="shared" si="4"/>
        <v>4550</v>
      </c>
    </row>
    <row r="301" spans="1:9" x14ac:dyDescent="0.25">
      <c r="A301" s="2" t="s">
        <v>150</v>
      </c>
      <c r="B301" s="2" t="s">
        <v>148</v>
      </c>
      <c r="C301" s="2" t="s">
        <v>41</v>
      </c>
      <c r="D301" s="2" t="s">
        <v>42</v>
      </c>
      <c r="E301" s="9" t="s">
        <v>43</v>
      </c>
      <c r="F301" s="2" t="s">
        <v>44</v>
      </c>
      <c r="G301" s="4">
        <v>1</v>
      </c>
      <c r="H301" s="5">
        <v>20199.599999999999</v>
      </c>
      <c r="I301" s="47">
        <f t="shared" si="4"/>
        <v>20199.599999999999</v>
      </c>
    </row>
    <row r="302" spans="1:9" x14ac:dyDescent="0.25">
      <c r="A302" s="6" t="s">
        <v>152</v>
      </c>
      <c r="B302" s="6" t="s">
        <v>148</v>
      </c>
      <c r="C302" s="6" t="s">
        <v>41</v>
      </c>
      <c r="D302" s="6" t="s">
        <v>45</v>
      </c>
      <c r="E302" s="9" t="s">
        <v>43</v>
      </c>
      <c r="F302" s="6" t="s">
        <v>46</v>
      </c>
      <c r="G302" s="7">
        <v>1</v>
      </c>
      <c r="H302" s="8">
        <v>5886.67</v>
      </c>
      <c r="I302" s="48">
        <f t="shared" si="4"/>
        <v>5886.67</v>
      </c>
    </row>
    <row r="303" spans="1:9" x14ac:dyDescent="0.25">
      <c r="A303" s="2" t="s">
        <v>153</v>
      </c>
      <c r="B303" s="2" t="s">
        <v>148</v>
      </c>
      <c r="C303" s="2" t="s">
        <v>41</v>
      </c>
      <c r="D303" s="2" t="s">
        <v>47</v>
      </c>
      <c r="E303" s="9" t="s">
        <v>43</v>
      </c>
      <c r="F303" s="2" t="s">
        <v>48</v>
      </c>
      <c r="G303" s="4">
        <v>1</v>
      </c>
      <c r="H303" s="5">
        <v>5282.77</v>
      </c>
      <c r="I303" s="47">
        <f t="shared" si="4"/>
        <v>5282.77</v>
      </c>
    </row>
    <row r="304" spans="1:9" x14ac:dyDescent="0.25">
      <c r="A304" s="6" t="s">
        <v>153</v>
      </c>
      <c r="B304" s="6" t="s">
        <v>148</v>
      </c>
      <c r="C304" s="6" t="s">
        <v>41</v>
      </c>
      <c r="D304" s="6" t="s">
        <v>49</v>
      </c>
      <c r="E304" s="9" t="s">
        <v>43</v>
      </c>
      <c r="F304" s="6" t="s">
        <v>50</v>
      </c>
      <c r="G304" s="7">
        <v>1</v>
      </c>
      <c r="H304" s="8">
        <v>10605.01</v>
      </c>
      <c r="I304" s="48">
        <f t="shared" si="4"/>
        <v>10605.01</v>
      </c>
    </row>
    <row r="305" spans="1:9" x14ac:dyDescent="0.25">
      <c r="A305" s="2" t="s">
        <v>153</v>
      </c>
      <c r="B305" s="2" t="s">
        <v>148</v>
      </c>
      <c r="C305" s="2" t="s">
        <v>51</v>
      </c>
      <c r="D305" s="2" t="s">
        <v>52</v>
      </c>
      <c r="E305" s="9" t="s">
        <v>43</v>
      </c>
      <c r="F305" s="2" t="s">
        <v>53</v>
      </c>
      <c r="G305" s="4">
        <v>1</v>
      </c>
      <c r="H305" s="5">
        <v>16288.21</v>
      </c>
      <c r="I305" s="47">
        <f t="shared" si="4"/>
        <v>16288.21</v>
      </c>
    </row>
    <row r="306" spans="1:9" x14ac:dyDescent="0.25">
      <c r="A306" s="6" t="s">
        <v>147</v>
      </c>
      <c r="B306" s="6" t="s">
        <v>148</v>
      </c>
      <c r="C306" s="6" t="s">
        <v>51</v>
      </c>
      <c r="D306" s="6" t="s">
        <v>54</v>
      </c>
      <c r="E306" s="9" t="s">
        <v>43</v>
      </c>
      <c r="F306" s="6" t="s">
        <v>55</v>
      </c>
      <c r="G306" s="7">
        <v>1</v>
      </c>
      <c r="H306" s="8">
        <v>9493.5400000000009</v>
      </c>
      <c r="I306" s="48">
        <f t="shared" si="4"/>
        <v>9493.5400000000009</v>
      </c>
    </row>
    <row r="307" spans="1:9" x14ac:dyDescent="0.25">
      <c r="A307" s="2" t="s">
        <v>153</v>
      </c>
      <c r="B307" s="2" t="s">
        <v>148</v>
      </c>
      <c r="C307" s="2" t="s">
        <v>51</v>
      </c>
      <c r="D307" s="2" t="s">
        <v>56</v>
      </c>
      <c r="E307" s="9" t="s">
        <v>43</v>
      </c>
      <c r="F307" s="2" t="s">
        <v>57</v>
      </c>
      <c r="G307" s="4">
        <v>1</v>
      </c>
      <c r="H307" s="5">
        <v>4037.18</v>
      </c>
      <c r="I307" s="47">
        <f t="shared" si="4"/>
        <v>4037.18</v>
      </c>
    </row>
    <row r="308" spans="1:9" x14ac:dyDescent="0.25">
      <c r="A308" s="6" t="s">
        <v>153</v>
      </c>
      <c r="B308" s="6" t="s">
        <v>148</v>
      </c>
      <c r="C308" s="6" t="s">
        <v>51</v>
      </c>
      <c r="D308" s="6" t="s">
        <v>58</v>
      </c>
      <c r="E308" s="9" t="s">
        <v>43</v>
      </c>
      <c r="F308" s="6" t="s">
        <v>59</v>
      </c>
      <c r="G308" s="7">
        <v>1</v>
      </c>
      <c r="H308" s="8">
        <v>8774.99</v>
      </c>
      <c r="I308" s="48">
        <f t="shared" si="4"/>
        <v>8774.99</v>
      </c>
    </row>
    <row r="309" spans="1:9" x14ac:dyDescent="0.25">
      <c r="A309" s="2" t="s">
        <v>150</v>
      </c>
      <c r="B309" s="2" t="s">
        <v>148</v>
      </c>
      <c r="C309" s="2" t="s">
        <v>60</v>
      </c>
      <c r="D309" s="2" t="s">
        <v>61</v>
      </c>
      <c r="E309" s="9" t="s">
        <v>43</v>
      </c>
      <c r="F309" s="2" t="s">
        <v>62</v>
      </c>
      <c r="G309" s="4">
        <v>1</v>
      </c>
      <c r="H309" s="5">
        <v>9575.5300000000007</v>
      </c>
      <c r="I309" s="47">
        <f t="shared" si="4"/>
        <v>9575.5300000000007</v>
      </c>
    </row>
    <row r="310" spans="1:9" x14ac:dyDescent="0.25">
      <c r="A310" s="6" t="s">
        <v>149</v>
      </c>
      <c r="B310" s="6" t="s">
        <v>148</v>
      </c>
      <c r="C310" s="6" t="s">
        <v>60</v>
      </c>
      <c r="D310" s="6" t="s">
        <v>63</v>
      </c>
      <c r="E310" s="9" t="s">
        <v>43</v>
      </c>
      <c r="F310" s="6" t="s">
        <v>64</v>
      </c>
      <c r="G310" s="7">
        <v>1</v>
      </c>
      <c r="H310" s="8">
        <v>3648.49</v>
      </c>
      <c r="I310" s="48">
        <f t="shared" si="4"/>
        <v>3648.49</v>
      </c>
    </row>
    <row r="311" spans="1:9" x14ac:dyDescent="0.25">
      <c r="A311" s="2" t="s">
        <v>151</v>
      </c>
      <c r="B311" s="2" t="s">
        <v>148</v>
      </c>
      <c r="C311" s="2" t="s">
        <v>60</v>
      </c>
      <c r="D311" s="2" t="s">
        <v>65</v>
      </c>
      <c r="E311" s="9" t="s">
        <v>43</v>
      </c>
      <c r="F311" s="2" t="s">
        <v>66</v>
      </c>
      <c r="G311" s="4">
        <v>1</v>
      </c>
      <c r="H311" s="5">
        <v>1555.4</v>
      </c>
      <c r="I311" s="47">
        <f t="shared" si="4"/>
        <v>1555.4</v>
      </c>
    </row>
    <row r="312" spans="1:9" x14ac:dyDescent="0.25">
      <c r="A312" s="6" t="s">
        <v>151</v>
      </c>
      <c r="B312" s="6" t="s">
        <v>148</v>
      </c>
      <c r="C312" s="6" t="s">
        <v>60</v>
      </c>
      <c r="D312" s="6" t="s">
        <v>67</v>
      </c>
      <c r="E312" s="9" t="s">
        <v>43</v>
      </c>
      <c r="F312" s="6" t="s">
        <v>68</v>
      </c>
      <c r="G312" s="7">
        <v>1</v>
      </c>
      <c r="H312" s="8">
        <v>516.54999999999995</v>
      </c>
      <c r="I312" s="48">
        <f t="shared" si="4"/>
        <v>516.54999999999995</v>
      </c>
    </row>
    <row r="313" spans="1:9" x14ac:dyDescent="0.25">
      <c r="A313" s="2" t="s">
        <v>151</v>
      </c>
      <c r="B313" s="2" t="s">
        <v>148</v>
      </c>
      <c r="C313" s="2" t="s">
        <v>60</v>
      </c>
      <c r="D313" s="2" t="s">
        <v>69</v>
      </c>
      <c r="E313" s="9" t="s">
        <v>43</v>
      </c>
      <c r="F313" s="2" t="s">
        <v>70</v>
      </c>
      <c r="G313" s="4">
        <v>1</v>
      </c>
      <c r="H313" s="5">
        <v>356.27</v>
      </c>
      <c r="I313" s="47">
        <f t="shared" si="4"/>
        <v>356.27</v>
      </c>
    </row>
    <row r="314" spans="1:9" x14ac:dyDescent="0.25">
      <c r="A314" s="6" t="s">
        <v>153</v>
      </c>
      <c r="B314" s="6" t="s">
        <v>148</v>
      </c>
      <c r="C314" s="6" t="s">
        <v>71</v>
      </c>
      <c r="D314" s="6" t="s">
        <v>72</v>
      </c>
      <c r="E314" s="9" t="s">
        <v>43</v>
      </c>
      <c r="F314" s="6" t="s">
        <v>73</v>
      </c>
      <c r="G314" s="7">
        <v>1</v>
      </c>
      <c r="H314" s="8">
        <v>1948.85</v>
      </c>
      <c r="I314" s="48">
        <f t="shared" si="4"/>
        <v>1948.85</v>
      </c>
    </row>
    <row r="315" spans="1:9" x14ac:dyDescent="0.25">
      <c r="A315" s="2" t="s">
        <v>151</v>
      </c>
      <c r="B315" s="2" t="s">
        <v>148</v>
      </c>
      <c r="C315" s="2" t="s">
        <v>71</v>
      </c>
      <c r="D315" s="2" t="s">
        <v>74</v>
      </c>
      <c r="E315" s="9" t="s">
        <v>43</v>
      </c>
      <c r="F315" s="2" t="s">
        <v>75</v>
      </c>
      <c r="G315" s="4">
        <v>1</v>
      </c>
      <c r="H315" s="5">
        <v>714.92</v>
      </c>
      <c r="I315" s="47">
        <f t="shared" si="4"/>
        <v>714.92</v>
      </c>
    </row>
    <row r="316" spans="1:9" x14ac:dyDescent="0.25">
      <c r="A316" s="6" t="s">
        <v>150</v>
      </c>
      <c r="B316" s="6" t="s">
        <v>148</v>
      </c>
      <c r="C316" s="6" t="s">
        <v>71</v>
      </c>
      <c r="D316" s="6" t="s">
        <v>76</v>
      </c>
      <c r="E316" s="9" t="s">
        <v>43</v>
      </c>
      <c r="F316" s="6" t="s">
        <v>77</v>
      </c>
      <c r="G316" s="7">
        <v>1</v>
      </c>
      <c r="H316" s="8">
        <v>435.02</v>
      </c>
      <c r="I316" s="48">
        <f t="shared" si="4"/>
        <v>435.02</v>
      </c>
    </row>
    <row r="317" spans="1:9" x14ac:dyDescent="0.25">
      <c r="A317" s="2" t="s">
        <v>153</v>
      </c>
      <c r="B317" s="2" t="s">
        <v>148</v>
      </c>
      <c r="C317" s="2" t="s">
        <v>71</v>
      </c>
      <c r="D317" s="2" t="s">
        <v>78</v>
      </c>
      <c r="E317" s="9" t="s">
        <v>43</v>
      </c>
      <c r="F317" s="2" t="s">
        <v>79</v>
      </c>
      <c r="G317" s="4">
        <v>1</v>
      </c>
      <c r="H317" s="5">
        <v>1037.75</v>
      </c>
      <c r="I317" s="47">
        <f t="shared" si="4"/>
        <v>1037.75</v>
      </c>
    </row>
    <row r="318" spans="1:9" x14ac:dyDescent="0.25">
      <c r="A318" s="6" t="s">
        <v>149</v>
      </c>
      <c r="B318" s="6" t="s">
        <v>148</v>
      </c>
      <c r="C318" s="6" t="s">
        <v>80</v>
      </c>
      <c r="D318" s="6" t="s">
        <v>81</v>
      </c>
      <c r="E318" s="9" t="s">
        <v>43</v>
      </c>
      <c r="F318" s="6" t="s">
        <v>82</v>
      </c>
      <c r="G318" s="7">
        <v>1</v>
      </c>
      <c r="H318" s="8">
        <v>1368.88</v>
      </c>
      <c r="I318" s="48">
        <f t="shared" si="4"/>
        <v>1368.88</v>
      </c>
    </row>
    <row r="319" spans="1:9" x14ac:dyDescent="0.25">
      <c r="A319" s="2" t="s">
        <v>147</v>
      </c>
      <c r="B319" s="2" t="s">
        <v>148</v>
      </c>
      <c r="C319" s="2" t="s">
        <v>80</v>
      </c>
      <c r="D319" s="2" t="s">
        <v>83</v>
      </c>
      <c r="E319" s="9" t="s">
        <v>43</v>
      </c>
      <c r="F319" s="2" t="s">
        <v>84</v>
      </c>
      <c r="G319" s="4">
        <v>1</v>
      </c>
      <c r="H319" s="5">
        <v>882.42</v>
      </c>
      <c r="I319" s="47">
        <f t="shared" si="4"/>
        <v>882.42</v>
      </c>
    </row>
    <row r="320" spans="1:9" x14ac:dyDescent="0.25">
      <c r="A320" s="6" t="s">
        <v>153</v>
      </c>
      <c r="B320" s="6" t="s">
        <v>148</v>
      </c>
      <c r="C320" s="6" t="s">
        <v>85</v>
      </c>
      <c r="D320" s="6" t="s">
        <v>86</v>
      </c>
      <c r="E320" s="9" t="s">
        <v>43</v>
      </c>
      <c r="F320" s="6" t="s">
        <v>87</v>
      </c>
      <c r="G320" s="7">
        <v>1</v>
      </c>
      <c r="H320" s="8">
        <v>7723.6</v>
      </c>
      <c r="I320" s="48">
        <f t="shared" si="4"/>
        <v>7723.6</v>
      </c>
    </row>
    <row r="321" spans="1:9" x14ac:dyDescent="0.25">
      <c r="A321" s="2" t="s">
        <v>151</v>
      </c>
      <c r="B321" s="2" t="s">
        <v>148</v>
      </c>
      <c r="C321" s="2" t="s">
        <v>85</v>
      </c>
      <c r="D321" s="2" t="s">
        <v>88</v>
      </c>
      <c r="E321" s="9" t="s">
        <v>43</v>
      </c>
      <c r="F321" s="2" t="s">
        <v>89</v>
      </c>
      <c r="G321" s="4">
        <v>1</v>
      </c>
      <c r="H321" s="5">
        <v>4224.38</v>
      </c>
      <c r="I321" s="47">
        <f t="shared" si="4"/>
        <v>4224.38</v>
      </c>
    </row>
    <row r="322" spans="1:9" x14ac:dyDescent="0.25">
      <c r="A322" s="6" t="s">
        <v>153</v>
      </c>
      <c r="B322" s="6" t="s">
        <v>148</v>
      </c>
      <c r="C322" s="6" t="s">
        <v>85</v>
      </c>
      <c r="D322" s="6" t="s">
        <v>90</v>
      </c>
      <c r="E322" s="9" t="s">
        <v>43</v>
      </c>
      <c r="F322" s="6" t="s">
        <v>91</v>
      </c>
      <c r="G322" s="7">
        <v>1</v>
      </c>
      <c r="H322" s="8">
        <v>309.18</v>
      </c>
      <c r="I322" s="48">
        <f t="shared" si="4"/>
        <v>309.18</v>
      </c>
    </row>
    <row r="323" spans="1:9" x14ac:dyDescent="0.25">
      <c r="A323" s="2" t="s">
        <v>154</v>
      </c>
      <c r="B323" s="2" t="s">
        <v>155</v>
      </c>
      <c r="C323" s="2" t="s">
        <v>11</v>
      </c>
      <c r="D323" s="2" t="s">
        <v>12</v>
      </c>
      <c r="E323" s="3" t="s">
        <v>13</v>
      </c>
      <c r="F323" s="2" t="s">
        <v>14</v>
      </c>
      <c r="G323" s="4">
        <v>480</v>
      </c>
      <c r="H323" s="5">
        <v>58</v>
      </c>
      <c r="I323" s="47">
        <f t="shared" ref="I323:I386" si="5">G323*H323</f>
        <v>27840</v>
      </c>
    </row>
    <row r="324" spans="1:9" x14ac:dyDescent="0.25">
      <c r="A324" s="6" t="s">
        <v>156</v>
      </c>
      <c r="B324" s="6" t="s">
        <v>155</v>
      </c>
      <c r="C324" s="6" t="s">
        <v>11</v>
      </c>
      <c r="D324" s="6" t="s">
        <v>15</v>
      </c>
      <c r="E324" s="3" t="s">
        <v>13</v>
      </c>
      <c r="F324" s="6" t="s">
        <v>16</v>
      </c>
      <c r="G324" s="7">
        <v>331</v>
      </c>
      <c r="H324" s="8">
        <v>24</v>
      </c>
      <c r="I324" s="48">
        <f t="shared" si="5"/>
        <v>7944</v>
      </c>
    </row>
    <row r="325" spans="1:9" x14ac:dyDescent="0.25">
      <c r="A325" s="2" t="s">
        <v>154</v>
      </c>
      <c r="B325" s="2" t="s">
        <v>155</v>
      </c>
      <c r="C325" s="2" t="s">
        <v>11</v>
      </c>
      <c r="D325" s="2" t="s">
        <v>18</v>
      </c>
      <c r="E325" s="3" t="s">
        <v>13</v>
      </c>
      <c r="F325" s="2" t="s">
        <v>19</v>
      </c>
      <c r="G325" s="4">
        <v>254</v>
      </c>
      <c r="H325" s="5">
        <v>18</v>
      </c>
      <c r="I325" s="47">
        <f t="shared" si="5"/>
        <v>4572</v>
      </c>
    </row>
    <row r="326" spans="1:9" x14ac:dyDescent="0.25">
      <c r="A326" s="6" t="s">
        <v>157</v>
      </c>
      <c r="B326" s="6" t="s">
        <v>155</v>
      </c>
      <c r="C326" s="6" t="s">
        <v>21</v>
      </c>
      <c r="D326" s="6" t="s">
        <v>22</v>
      </c>
      <c r="E326" s="3" t="s">
        <v>13</v>
      </c>
      <c r="F326" s="6" t="s">
        <v>23</v>
      </c>
      <c r="G326" s="7">
        <v>365</v>
      </c>
      <c r="H326" s="8">
        <v>32</v>
      </c>
      <c r="I326" s="48">
        <f t="shared" si="5"/>
        <v>11680</v>
      </c>
    </row>
    <row r="327" spans="1:9" x14ac:dyDescent="0.25">
      <c r="A327" s="2" t="s">
        <v>154</v>
      </c>
      <c r="B327" s="2" t="s">
        <v>155</v>
      </c>
      <c r="C327" s="2" t="s">
        <v>21</v>
      </c>
      <c r="D327" s="2" t="s">
        <v>25</v>
      </c>
      <c r="E327" s="3" t="s">
        <v>13</v>
      </c>
      <c r="F327" s="2" t="s">
        <v>26</v>
      </c>
      <c r="G327" s="4">
        <v>207</v>
      </c>
      <c r="H327" s="5">
        <v>55</v>
      </c>
      <c r="I327" s="47">
        <f t="shared" si="5"/>
        <v>11385</v>
      </c>
    </row>
    <row r="328" spans="1:9" x14ac:dyDescent="0.25">
      <c r="A328" s="6" t="s">
        <v>158</v>
      </c>
      <c r="B328" s="6" t="s">
        <v>155</v>
      </c>
      <c r="C328" s="6" t="s">
        <v>21</v>
      </c>
      <c r="D328" s="6" t="s">
        <v>28</v>
      </c>
      <c r="E328" s="3" t="s">
        <v>13</v>
      </c>
      <c r="F328" s="6" t="s">
        <v>29</v>
      </c>
      <c r="G328" s="7">
        <v>444</v>
      </c>
      <c r="H328" s="8">
        <v>12</v>
      </c>
      <c r="I328" s="48">
        <f t="shared" si="5"/>
        <v>5328</v>
      </c>
    </row>
    <row r="329" spans="1:9" x14ac:dyDescent="0.25">
      <c r="A329" s="2" t="s">
        <v>157</v>
      </c>
      <c r="B329" s="2" t="s">
        <v>155</v>
      </c>
      <c r="C329" s="2" t="s">
        <v>30</v>
      </c>
      <c r="D329" s="2" t="s">
        <v>31</v>
      </c>
      <c r="E329" s="3" t="s">
        <v>13</v>
      </c>
      <c r="F329" s="2" t="s">
        <v>32</v>
      </c>
      <c r="G329" s="4">
        <v>596</v>
      </c>
      <c r="H329" s="5">
        <v>47</v>
      </c>
      <c r="I329" s="47">
        <f t="shared" si="5"/>
        <v>28012</v>
      </c>
    </row>
    <row r="330" spans="1:9" x14ac:dyDescent="0.25">
      <c r="A330" s="6" t="s">
        <v>159</v>
      </c>
      <c r="B330" s="6" t="s">
        <v>155</v>
      </c>
      <c r="C330" s="6" t="s">
        <v>30</v>
      </c>
      <c r="D330" s="6" t="s">
        <v>33</v>
      </c>
      <c r="E330" s="3" t="s">
        <v>13</v>
      </c>
      <c r="F330" s="6" t="s">
        <v>34</v>
      </c>
      <c r="G330" s="7">
        <v>227</v>
      </c>
      <c r="H330" s="8">
        <v>52</v>
      </c>
      <c r="I330" s="48">
        <f t="shared" si="5"/>
        <v>11804</v>
      </c>
    </row>
    <row r="331" spans="1:9" x14ac:dyDescent="0.25">
      <c r="A331" s="2" t="s">
        <v>158</v>
      </c>
      <c r="B331" s="2" t="s">
        <v>155</v>
      </c>
      <c r="C331" s="2" t="s">
        <v>36</v>
      </c>
      <c r="D331" s="2" t="s">
        <v>37</v>
      </c>
      <c r="E331" s="3" t="s">
        <v>13</v>
      </c>
      <c r="F331" s="2" t="s">
        <v>38</v>
      </c>
      <c r="G331" s="4">
        <v>5</v>
      </c>
      <c r="H331" s="5">
        <v>1800</v>
      </c>
      <c r="I331" s="47">
        <f t="shared" si="5"/>
        <v>9000</v>
      </c>
    </row>
    <row r="332" spans="1:9" x14ac:dyDescent="0.25">
      <c r="A332" s="6" t="s">
        <v>156</v>
      </c>
      <c r="B332" s="6" t="s">
        <v>155</v>
      </c>
      <c r="C332" s="6" t="s">
        <v>36</v>
      </c>
      <c r="D332" s="6" t="s">
        <v>39</v>
      </c>
      <c r="E332" s="3" t="s">
        <v>13</v>
      </c>
      <c r="F332" s="6" t="s">
        <v>40</v>
      </c>
      <c r="G332" s="7">
        <v>7</v>
      </c>
      <c r="H332" s="8">
        <v>650</v>
      </c>
      <c r="I332" s="48">
        <f t="shared" si="5"/>
        <v>4550</v>
      </c>
    </row>
    <row r="333" spans="1:9" x14ac:dyDescent="0.25">
      <c r="A333" s="2" t="s">
        <v>159</v>
      </c>
      <c r="B333" s="2" t="s">
        <v>155</v>
      </c>
      <c r="C333" s="2" t="s">
        <v>41</v>
      </c>
      <c r="D333" s="2" t="s">
        <v>42</v>
      </c>
      <c r="E333" s="9" t="s">
        <v>43</v>
      </c>
      <c r="F333" s="2" t="s">
        <v>44</v>
      </c>
      <c r="G333" s="4">
        <v>1</v>
      </c>
      <c r="H333" s="5">
        <v>22091.279999999999</v>
      </c>
      <c r="I333" s="47">
        <f t="shared" si="5"/>
        <v>22091.279999999999</v>
      </c>
    </row>
    <row r="334" spans="1:9" x14ac:dyDescent="0.25">
      <c r="A334" s="6" t="s">
        <v>157</v>
      </c>
      <c r="B334" s="6" t="s">
        <v>155</v>
      </c>
      <c r="C334" s="6" t="s">
        <v>41</v>
      </c>
      <c r="D334" s="6" t="s">
        <v>45</v>
      </c>
      <c r="E334" s="9" t="s">
        <v>43</v>
      </c>
      <c r="F334" s="6" t="s">
        <v>46</v>
      </c>
      <c r="G334" s="7">
        <v>1</v>
      </c>
      <c r="H334" s="8">
        <v>6186.92</v>
      </c>
      <c r="I334" s="48">
        <f t="shared" si="5"/>
        <v>6186.92</v>
      </c>
    </row>
    <row r="335" spans="1:9" x14ac:dyDescent="0.25">
      <c r="A335" s="2" t="s">
        <v>157</v>
      </c>
      <c r="B335" s="2" t="s">
        <v>155</v>
      </c>
      <c r="C335" s="2" t="s">
        <v>41</v>
      </c>
      <c r="D335" s="2" t="s">
        <v>47</v>
      </c>
      <c r="E335" s="9" t="s">
        <v>43</v>
      </c>
      <c r="F335" s="2" t="s">
        <v>48</v>
      </c>
      <c r="G335" s="4">
        <v>1</v>
      </c>
      <c r="H335" s="5">
        <v>5517.48</v>
      </c>
      <c r="I335" s="47">
        <f t="shared" si="5"/>
        <v>5517.48</v>
      </c>
    </row>
    <row r="336" spans="1:9" x14ac:dyDescent="0.25">
      <c r="A336" s="6" t="s">
        <v>157</v>
      </c>
      <c r="B336" s="6" t="s">
        <v>155</v>
      </c>
      <c r="C336" s="6" t="s">
        <v>41</v>
      </c>
      <c r="D336" s="6" t="s">
        <v>49</v>
      </c>
      <c r="E336" s="9" t="s">
        <v>43</v>
      </c>
      <c r="F336" s="6" t="s">
        <v>50</v>
      </c>
      <c r="G336" s="7">
        <v>1</v>
      </c>
      <c r="H336" s="8">
        <v>11640.6</v>
      </c>
      <c r="I336" s="48">
        <f t="shared" si="5"/>
        <v>11640.6</v>
      </c>
    </row>
    <row r="337" spans="1:9" x14ac:dyDescent="0.25">
      <c r="A337" s="2" t="s">
        <v>160</v>
      </c>
      <c r="B337" s="2" t="s">
        <v>155</v>
      </c>
      <c r="C337" s="2" t="s">
        <v>51</v>
      </c>
      <c r="D337" s="2" t="s">
        <v>52</v>
      </c>
      <c r="E337" s="9" t="s">
        <v>43</v>
      </c>
      <c r="F337" s="2" t="s">
        <v>53</v>
      </c>
      <c r="G337" s="4">
        <v>1</v>
      </c>
      <c r="H337" s="5">
        <v>16496.97</v>
      </c>
      <c r="I337" s="47">
        <f t="shared" si="5"/>
        <v>16496.97</v>
      </c>
    </row>
    <row r="338" spans="1:9" x14ac:dyDescent="0.25">
      <c r="A338" s="6" t="s">
        <v>154</v>
      </c>
      <c r="B338" s="6" t="s">
        <v>155</v>
      </c>
      <c r="C338" s="6" t="s">
        <v>51</v>
      </c>
      <c r="D338" s="6" t="s">
        <v>54</v>
      </c>
      <c r="E338" s="9" t="s">
        <v>43</v>
      </c>
      <c r="F338" s="6" t="s">
        <v>55</v>
      </c>
      <c r="G338" s="7">
        <v>1</v>
      </c>
      <c r="H338" s="8">
        <v>9995.9699999999993</v>
      </c>
      <c r="I338" s="48">
        <f t="shared" si="5"/>
        <v>9995.9699999999993</v>
      </c>
    </row>
    <row r="339" spans="1:9" x14ac:dyDescent="0.25">
      <c r="A339" s="2" t="s">
        <v>156</v>
      </c>
      <c r="B339" s="2" t="s">
        <v>155</v>
      </c>
      <c r="C339" s="2" t="s">
        <v>51</v>
      </c>
      <c r="D339" s="2" t="s">
        <v>56</v>
      </c>
      <c r="E339" s="9" t="s">
        <v>43</v>
      </c>
      <c r="F339" s="2" t="s">
        <v>57</v>
      </c>
      <c r="G339" s="4">
        <v>1</v>
      </c>
      <c r="H339" s="5">
        <v>4130.01</v>
      </c>
      <c r="I339" s="47">
        <f t="shared" si="5"/>
        <v>4130.01</v>
      </c>
    </row>
    <row r="340" spans="1:9" x14ac:dyDescent="0.25">
      <c r="A340" s="6" t="s">
        <v>157</v>
      </c>
      <c r="B340" s="6" t="s">
        <v>155</v>
      </c>
      <c r="C340" s="6" t="s">
        <v>51</v>
      </c>
      <c r="D340" s="6" t="s">
        <v>58</v>
      </c>
      <c r="E340" s="9" t="s">
        <v>43</v>
      </c>
      <c r="F340" s="6" t="s">
        <v>59</v>
      </c>
      <c r="G340" s="7">
        <v>1</v>
      </c>
      <c r="H340" s="8">
        <v>8869.56</v>
      </c>
      <c r="I340" s="48">
        <f t="shared" si="5"/>
        <v>8869.56</v>
      </c>
    </row>
    <row r="341" spans="1:9" x14ac:dyDescent="0.25">
      <c r="A341" s="2" t="s">
        <v>158</v>
      </c>
      <c r="B341" s="2" t="s">
        <v>155</v>
      </c>
      <c r="C341" s="2" t="s">
        <v>60</v>
      </c>
      <c r="D341" s="2" t="s">
        <v>61</v>
      </c>
      <c r="E341" s="9" t="s">
        <v>43</v>
      </c>
      <c r="F341" s="2" t="s">
        <v>62</v>
      </c>
      <c r="G341" s="4">
        <v>1</v>
      </c>
      <c r="H341" s="5">
        <v>9885.2199999999993</v>
      </c>
      <c r="I341" s="47">
        <f t="shared" si="5"/>
        <v>9885.2199999999993</v>
      </c>
    </row>
    <row r="342" spans="1:9" x14ac:dyDescent="0.25">
      <c r="A342" s="6" t="s">
        <v>154</v>
      </c>
      <c r="B342" s="6" t="s">
        <v>155</v>
      </c>
      <c r="C342" s="6" t="s">
        <v>60</v>
      </c>
      <c r="D342" s="6" t="s">
        <v>63</v>
      </c>
      <c r="E342" s="9" t="s">
        <v>43</v>
      </c>
      <c r="F342" s="6" t="s">
        <v>64</v>
      </c>
      <c r="G342" s="7">
        <v>1</v>
      </c>
      <c r="H342" s="8">
        <v>3793.54</v>
      </c>
      <c r="I342" s="48">
        <f t="shared" si="5"/>
        <v>3793.54</v>
      </c>
    </row>
    <row r="343" spans="1:9" x14ac:dyDescent="0.25">
      <c r="A343" s="2" t="s">
        <v>154</v>
      </c>
      <c r="B343" s="2" t="s">
        <v>155</v>
      </c>
      <c r="C343" s="2" t="s">
        <v>60</v>
      </c>
      <c r="D343" s="2" t="s">
        <v>65</v>
      </c>
      <c r="E343" s="9" t="s">
        <v>43</v>
      </c>
      <c r="F343" s="2" t="s">
        <v>66</v>
      </c>
      <c r="G343" s="4">
        <v>1</v>
      </c>
      <c r="H343" s="5">
        <v>1608.78</v>
      </c>
      <c r="I343" s="47">
        <f t="shared" si="5"/>
        <v>1608.78</v>
      </c>
    </row>
    <row r="344" spans="1:9" x14ac:dyDescent="0.25">
      <c r="A344" s="6" t="s">
        <v>158</v>
      </c>
      <c r="B344" s="6" t="s">
        <v>155</v>
      </c>
      <c r="C344" s="6" t="s">
        <v>60</v>
      </c>
      <c r="D344" s="6" t="s">
        <v>67</v>
      </c>
      <c r="E344" s="9" t="s">
        <v>43</v>
      </c>
      <c r="F344" s="6" t="s">
        <v>68</v>
      </c>
      <c r="G344" s="7">
        <v>1</v>
      </c>
      <c r="H344" s="8">
        <v>575.15</v>
      </c>
      <c r="I344" s="48">
        <f t="shared" si="5"/>
        <v>575.15</v>
      </c>
    </row>
    <row r="345" spans="1:9" x14ac:dyDescent="0.25">
      <c r="A345" s="2" t="s">
        <v>157</v>
      </c>
      <c r="B345" s="2" t="s">
        <v>155</v>
      </c>
      <c r="C345" s="2" t="s">
        <v>60</v>
      </c>
      <c r="D345" s="2" t="s">
        <v>69</v>
      </c>
      <c r="E345" s="9" t="s">
        <v>43</v>
      </c>
      <c r="F345" s="2" t="s">
        <v>70</v>
      </c>
      <c r="G345" s="4">
        <v>1</v>
      </c>
      <c r="H345" s="5">
        <v>365.53</v>
      </c>
      <c r="I345" s="47">
        <f t="shared" si="5"/>
        <v>365.53</v>
      </c>
    </row>
    <row r="346" spans="1:9" x14ac:dyDescent="0.25">
      <c r="A346" s="6" t="s">
        <v>158</v>
      </c>
      <c r="B346" s="6" t="s">
        <v>155</v>
      </c>
      <c r="C346" s="6" t="s">
        <v>71</v>
      </c>
      <c r="D346" s="6" t="s">
        <v>72</v>
      </c>
      <c r="E346" s="9" t="s">
        <v>43</v>
      </c>
      <c r="F346" s="6" t="s">
        <v>73</v>
      </c>
      <c r="G346" s="7">
        <v>1</v>
      </c>
      <c r="H346" s="8">
        <v>2089.27</v>
      </c>
      <c r="I346" s="48">
        <f t="shared" si="5"/>
        <v>2089.27</v>
      </c>
    </row>
    <row r="347" spans="1:9" x14ac:dyDescent="0.25">
      <c r="A347" s="2" t="s">
        <v>156</v>
      </c>
      <c r="B347" s="2" t="s">
        <v>155</v>
      </c>
      <c r="C347" s="2" t="s">
        <v>71</v>
      </c>
      <c r="D347" s="2" t="s">
        <v>74</v>
      </c>
      <c r="E347" s="9" t="s">
        <v>43</v>
      </c>
      <c r="F347" s="2" t="s">
        <v>75</v>
      </c>
      <c r="G347" s="4">
        <v>1</v>
      </c>
      <c r="H347" s="5">
        <v>755.48</v>
      </c>
      <c r="I347" s="47">
        <f t="shared" si="5"/>
        <v>755.48</v>
      </c>
    </row>
    <row r="348" spans="1:9" x14ac:dyDescent="0.25">
      <c r="A348" s="6" t="s">
        <v>159</v>
      </c>
      <c r="B348" s="6" t="s">
        <v>155</v>
      </c>
      <c r="C348" s="6" t="s">
        <v>71</v>
      </c>
      <c r="D348" s="6" t="s">
        <v>76</v>
      </c>
      <c r="E348" s="9" t="s">
        <v>43</v>
      </c>
      <c r="F348" s="6" t="s">
        <v>77</v>
      </c>
      <c r="G348" s="7">
        <v>1</v>
      </c>
      <c r="H348" s="8">
        <v>437.59</v>
      </c>
      <c r="I348" s="48">
        <f t="shared" si="5"/>
        <v>437.59</v>
      </c>
    </row>
    <row r="349" spans="1:9" x14ac:dyDescent="0.25">
      <c r="A349" s="2" t="s">
        <v>158</v>
      </c>
      <c r="B349" s="2" t="s">
        <v>155</v>
      </c>
      <c r="C349" s="2" t="s">
        <v>71</v>
      </c>
      <c r="D349" s="2" t="s">
        <v>78</v>
      </c>
      <c r="E349" s="9" t="s">
        <v>43</v>
      </c>
      <c r="F349" s="2" t="s">
        <v>79</v>
      </c>
      <c r="G349" s="4">
        <v>1</v>
      </c>
      <c r="H349" s="5">
        <v>1079.77</v>
      </c>
      <c r="I349" s="47">
        <f t="shared" si="5"/>
        <v>1079.77</v>
      </c>
    </row>
    <row r="350" spans="1:9" x14ac:dyDescent="0.25">
      <c r="A350" s="6" t="s">
        <v>156</v>
      </c>
      <c r="B350" s="6" t="s">
        <v>155</v>
      </c>
      <c r="C350" s="6" t="s">
        <v>80</v>
      </c>
      <c r="D350" s="6" t="s">
        <v>81</v>
      </c>
      <c r="E350" s="9" t="s">
        <v>43</v>
      </c>
      <c r="F350" s="6" t="s">
        <v>82</v>
      </c>
      <c r="G350" s="7">
        <v>1</v>
      </c>
      <c r="H350" s="8">
        <v>1369.84</v>
      </c>
      <c r="I350" s="48">
        <f t="shared" si="5"/>
        <v>1369.84</v>
      </c>
    </row>
    <row r="351" spans="1:9" x14ac:dyDescent="0.25">
      <c r="A351" s="2" t="s">
        <v>157</v>
      </c>
      <c r="B351" s="2" t="s">
        <v>155</v>
      </c>
      <c r="C351" s="2" t="s">
        <v>80</v>
      </c>
      <c r="D351" s="2" t="s">
        <v>83</v>
      </c>
      <c r="E351" s="9" t="s">
        <v>43</v>
      </c>
      <c r="F351" s="2" t="s">
        <v>84</v>
      </c>
      <c r="G351" s="4">
        <v>1</v>
      </c>
      <c r="H351" s="5">
        <v>938.62</v>
      </c>
      <c r="I351" s="47">
        <f t="shared" si="5"/>
        <v>938.62</v>
      </c>
    </row>
    <row r="352" spans="1:9" x14ac:dyDescent="0.25">
      <c r="A352" s="6" t="s">
        <v>154</v>
      </c>
      <c r="B352" s="6" t="s">
        <v>155</v>
      </c>
      <c r="C352" s="6" t="s">
        <v>85</v>
      </c>
      <c r="D352" s="6" t="s">
        <v>86</v>
      </c>
      <c r="E352" s="9" t="s">
        <v>43</v>
      </c>
      <c r="F352" s="6" t="s">
        <v>87</v>
      </c>
      <c r="G352" s="7">
        <v>1</v>
      </c>
      <c r="H352" s="8">
        <v>8052.76</v>
      </c>
      <c r="I352" s="48">
        <f t="shared" si="5"/>
        <v>8052.76</v>
      </c>
    </row>
    <row r="353" spans="1:9" x14ac:dyDescent="0.25">
      <c r="A353" s="2" t="s">
        <v>156</v>
      </c>
      <c r="B353" s="2" t="s">
        <v>155</v>
      </c>
      <c r="C353" s="2" t="s">
        <v>85</v>
      </c>
      <c r="D353" s="2" t="s">
        <v>88</v>
      </c>
      <c r="E353" s="9" t="s">
        <v>43</v>
      </c>
      <c r="F353" s="2" t="s">
        <v>89</v>
      </c>
      <c r="G353" s="4">
        <v>1</v>
      </c>
      <c r="H353" s="5">
        <v>4635.91</v>
      </c>
      <c r="I353" s="47">
        <f t="shared" si="5"/>
        <v>4635.91</v>
      </c>
    </row>
    <row r="354" spans="1:9" x14ac:dyDescent="0.25">
      <c r="A354" s="6" t="s">
        <v>159</v>
      </c>
      <c r="B354" s="6" t="s">
        <v>155</v>
      </c>
      <c r="C354" s="6" t="s">
        <v>85</v>
      </c>
      <c r="D354" s="6" t="s">
        <v>90</v>
      </c>
      <c r="E354" s="9" t="s">
        <v>43</v>
      </c>
      <c r="F354" s="6" t="s">
        <v>91</v>
      </c>
      <c r="G354" s="7">
        <v>1</v>
      </c>
      <c r="H354" s="8">
        <v>324.02999999999997</v>
      </c>
      <c r="I354" s="48">
        <f t="shared" si="5"/>
        <v>324.02999999999997</v>
      </c>
    </row>
    <row r="355" spans="1:9" x14ac:dyDescent="0.25">
      <c r="A355" s="2" t="s">
        <v>161</v>
      </c>
      <c r="B355" s="2" t="s">
        <v>162</v>
      </c>
      <c r="C355" s="2" t="s">
        <v>11</v>
      </c>
      <c r="D355" s="2" t="s">
        <v>12</v>
      </c>
      <c r="E355" s="3" t="s">
        <v>13</v>
      </c>
      <c r="F355" s="2" t="s">
        <v>14</v>
      </c>
      <c r="G355" s="4">
        <v>611</v>
      </c>
      <c r="H355" s="5">
        <v>58</v>
      </c>
      <c r="I355" s="47">
        <f t="shared" si="5"/>
        <v>35438</v>
      </c>
    </row>
    <row r="356" spans="1:9" x14ac:dyDescent="0.25">
      <c r="A356" s="6" t="s">
        <v>161</v>
      </c>
      <c r="B356" s="6" t="s">
        <v>162</v>
      </c>
      <c r="C356" s="6" t="s">
        <v>11</v>
      </c>
      <c r="D356" s="6" t="s">
        <v>15</v>
      </c>
      <c r="E356" s="3" t="s">
        <v>13</v>
      </c>
      <c r="F356" s="6" t="s">
        <v>16</v>
      </c>
      <c r="G356" s="7">
        <v>356</v>
      </c>
      <c r="H356" s="8">
        <v>24</v>
      </c>
      <c r="I356" s="48">
        <f t="shared" si="5"/>
        <v>8544</v>
      </c>
    </row>
    <row r="357" spans="1:9" x14ac:dyDescent="0.25">
      <c r="A357" s="2" t="s">
        <v>163</v>
      </c>
      <c r="B357" s="2" t="s">
        <v>162</v>
      </c>
      <c r="C357" s="2" t="s">
        <v>11</v>
      </c>
      <c r="D357" s="2" t="s">
        <v>18</v>
      </c>
      <c r="E357" s="3" t="s">
        <v>13</v>
      </c>
      <c r="F357" s="2" t="s">
        <v>19</v>
      </c>
      <c r="G357" s="4">
        <v>292</v>
      </c>
      <c r="H357" s="5">
        <v>18</v>
      </c>
      <c r="I357" s="47">
        <f t="shared" si="5"/>
        <v>5256</v>
      </c>
    </row>
    <row r="358" spans="1:9" x14ac:dyDescent="0.25">
      <c r="A358" s="6" t="s">
        <v>161</v>
      </c>
      <c r="B358" s="6" t="s">
        <v>162</v>
      </c>
      <c r="C358" s="6" t="s">
        <v>21</v>
      </c>
      <c r="D358" s="6" t="s">
        <v>22</v>
      </c>
      <c r="E358" s="3" t="s">
        <v>13</v>
      </c>
      <c r="F358" s="6" t="s">
        <v>23</v>
      </c>
      <c r="G358" s="7">
        <v>410</v>
      </c>
      <c r="H358" s="8">
        <v>32</v>
      </c>
      <c r="I358" s="48">
        <f t="shared" si="5"/>
        <v>13120</v>
      </c>
    </row>
    <row r="359" spans="1:9" x14ac:dyDescent="0.25">
      <c r="A359" s="2" t="s">
        <v>164</v>
      </c>
      <c r="B359" s="2" t="s">
        <v>162</v>
      </c>
      <c r="C359" s="2" t="s">
        <v>21</v>
      </c>
      <c r="D359" s="2" t="s">
        <v>25</v>
      </c>
      <c r="E359" s="3" t="s">
        <v>13</v>
      </c>
      <c r="F359" s="2" t="s">
        <v>26</v>
      </c>
      <c r="G359" s="4">
        <v>247</v>
      </c>
      <c r="H359" s="5">
        <v>55</v>
      </c>
      <c r="I359" s="47">
        <f t="shared" si="5"/>
        <v>13585</v>
      </c>
    </row>
    <row r="360" spans="1:9" x14ac:dyDescent="0.25">
      <c r="A360" s="6" t="s">
        <v>165</v>
      </c>
      <c r="B360" s="6" t="s">
        <v>162</v>
      </c>
      <c r="C360" s="6" t="s">
        <v>21</v>
      </c>
      <c r="D360" s="6" t="s">
        <v>28</v>
      </c>
      <c r="E360" s="3" t="s">
        <v>13</v>
      </c>
      <c r="F360" s="6" t="s">
        <v>29</v>
      </c>
      <c r="G360" s="7">
        <v>508</v>
      </c>
      <c r="H360" s="8">
        <v>12</v>
      </c>
      <c r="I360" s="48">
        <f t="shared" si="5"/>
        <v>6096</v>
      </c>
    </row>
    <row r="361" spans="1:9" x14ac:dyDescent="0.25">
      <c r="A361" s="2" t="s">
        <v>161</v>
      </c>
      <c r="B361" s="2" t="s">
        <v>162</v>
      </c>
      <c r="C361" s="2" t="s">
        <v>30</v>
      </c>
      <c r="D361" s="2" t="s">
        <v>31</v>
      </c>
      <c r="E361" s="3" t="s">
        <v>13</v>
      </c>
      <c r="F361" s="2" t="s">
        <v>32</v>
      </c>
      <c r="G361" s="4">
        <v>756</v>
      </c>
      <c r="H361" s="5">
        <v>47</v>
      </c>
      <c r="I361" s="47">
        <f t="shared" si="5"/>
        <v>35532</v>
      </c>
    </row>
    <row r="362" spans="1:9" x14ac:dyDescent="0.25">
      <c r="A362" s="6" t="s">
        <v>166</v>
      </c>
      <c r="B362" s="6" t="s">
        <v>162</v>
      </c>
      <c r="C362" s="6" t="s">
        <v>30</v>
      </c>
      <c r="D362" s="6" t="s">
        <v>33</v>
      </c>
      <c r="E362" s="3" t="s">
        <v>13</v>
      </c>
      <c r="F362" s="6" t="s">
        <v>34</v>
      </c>
      <c r="G362" s="7">
        <v>239</v>
      </c>
      <c r="H362" s="8">
        <v>52</v>
      </c>
      <c r="I362" s="48">
        <f t="shared" si="5"/>
        <v>12428</v>
      </c>
    </row>
    <row r="363" spans="1:9" x14ac:dyDescent="0.25">
      <c r="A363" s="2" t="s">
        <v>166</v>
      </c>
      <c r="B363" s="2" t="s">
        <v>162</v>
      </c>
      <c r="C363" s="2" t="s">
        <v>36</v>
      </c>
      <c r="D363" s="2" t="s">
        <v>37</v>
      </c>
      <c r="E363" s="3" t="s">
        <v>13</v>
      </c>
      <c r="F363" s="2" t="s">
        <v>38</v>
      </c>
      <c r="G363" s="4">
        <v>5</v>
      </c>
      <c r="H363" s="5">
        <v>1800</v>
      </c>
      <c r="I363" s="47">
        <f t="shared" si="5"/>
        <v>9000</v>
      </c>
    </row>
    <row r="364" spans="1:9" x14ac:dyDescent="0.25">
      <c r="A364" s="6" t="s">
        <v>165</v>
      </c>
      <c r="B364" s="6" t="s">
        <v>162</v>
      </c>
      <c r="C364" s="6" t="s">
        <v>36</v>
      </c>
      <c r="D364" s="6" t="s">
        <v>39</v>
      </c>
      <c r="E364" s="3" t="s">
        <v>13</v>
      </c>
      <c r="F364" s="6" t="s">
        <v>40</v>
      </c>
      <c r="G364" s="7">
        <v>8</v>
      </c>
      <c r="H364" s="8">
        <v>650</v>
      </c>
      <c r="I364" s="48">
        <f t="shared" si="5"/>
        <v>5200</v>
      </c>
    </row>
    <row r="365" spans="1:9" x14ac:dyDescent="0.25">
      <c r="A365" s="2" t="s">
        <v>163</v>
      </c>
      <c r="B365" s="2" t="s">
        <v>162</v>
      </c>
      <c r="C365" s="2" t="s">
        <v>41</v>
      </c>
      <c r="D365" s="2" t="s">
        <v>42</v>
      </c>
      <c r="E365" s="9" t="s">
        <v>43</v>
      </c>
      <c r="F365" s="2" t="s">
        <v>44</v>
      </c>
      <c r="G365" s="4">
        <v>1</v>
      </c>
      <c r="H365" s="5">
        <v>25160.91</v>
      </c>
      <c r="I365" s="47">
        <f t="shared" si="5"/>
        <v>25160.91</v>
      </c>
    </row>
    <row r="366" spans="1:9" x14ac:dyDescent="0.25">
      <c r="A366" s="6" t="s">
        <v>164</v>
      </c>
      <c r="B366" s="6" t="s">
        <v>162</v>
      </c>
      <c r="C366" s="6" t="s">
        <v>41</v>
      </c>
      <c r="D366" s="6" t="s">
        <v>45</v>
      </c>
      <c r="E366" s="9" t="s">
        <v>43</v>
      </c>
      <c r="F366" s="6" t="s">
        <v>46</v>
      </c>
      <c r="G366" s="7">
        <v>1</v>
      </c>
      <c r="H366" s="8">
        <v>7047.02</v>
      </c>
      <c r="I366" s="48">
        <f t="shared" si="5"/>
        <v>7047.02</v>
      </c>
    </row>
    <row r="367" spans="1:9" x14ac:dyDescent="0.25">
      <c r="A367" s="2" t="s">
        <v>166</v>
      </c>
      <c r="B367" s="2" t="s">
        <v>162</v>
      </c>
      <c r="C367" s="2" t="s">
        <v>41</v>
      </c>
      <c r="D367" s="2" t="s">
        <v>47</v>
      </c>
      <c r="E367" s="9" t="s">
        <v>43</v>
      </c>
      <c r="F367" s="2" t="s">
        <v>48</v>
      </c>
      <c r="G367" s="4">
        <v>1</v>
      </c>
      <c r="H367" s="5">
        <v>6356.75</v>
      </c>
      <c r="I367" s="47">
        <f t="shared" si="5"/>
        <v>6356.75</v>
      </c>
    </row>
    <row r="368" spans="1:9" x14ac:dyDescent="0.25">
      <c r="A368" s="6" t="s">
        <v>164</v>
      </c>
      <c r="B368" s="6" t="s">
        <v>162</v>
      </c>
      <c r="C368" s="6" t="s">
        <v>41</v>
      </c>
      <c r="D368" s="6" t="s">
        <v>49</v>
      </c>
      <c r="E368" s="9" t="s">
        <v>43</v>
      </c>
      <c r="F368" s="6" t="s">
        <v>50</v>
      </c>
      <c r="G368" s="7">
        <v>1</v>
      </c>
      <c r="H368" s="8">
        <v>12868.04</v>
      </c>
      <c r="I368" s="48">
        <f t="shared" si="5"/>
        <v>12868.04</v>
      </c>
    </row>
    <row r="369" spans="1:9" x14ac:dyDescent="0.25">
      <c r="A369" s="2" t="s">
        <v>161</v>
      </c>
      <c r="B369" s="2" t="s">
        <v>162</v>
      </c>
      <c r="C369" s="2" t="s">
        <v>51</v>
      </c>
      <c r="D369" s="2" t="s">
        <v>52</v>
      </c>
      <c r="E369" s="9" t="s">
        <v>43</v>
      </c>
      <c r="F369" s="2" t="s">
        <v>53</v>
      </c>
      <c r="G369" s="4">
        <v>1</v>
      </c>
      <c r="H369" s="5">
        <v>18600.02</v>
      </c>
      <c r="I369" s="47">
        <f t="shared" si="5"/>
        <v>18600.02</v>
      </c>
    </row>
    <row r="370" spans="1:9" x14ac:dyDescent="0.25">
      <c r="A370" s="6" t="s">
        <v>167</v>
      </c>
      <c r="B370" s="6" t="s">
        <v>162</v>
      </c>
      <c r="C370" s="6" t="s">
        <v>51</v>
      </c>
      <c r="D370" s="6" t="s">
        <v>54</v>
      </c>
      <c r="E370" s="9" t="s">
        <v>43</v>
      </c>
      <c r="F370" s="6" t="s">
        <v>55</v>
      </c>
      <c r="G370" s="7">
        <v>1</v>
      </c>
      <c r="H370" s="8">
        <v>11280.32</v>
      </c>
      <c r="I370" s="48">
        <f t="shared" si="5"/>
        <v>11280.32</v>
      </c>
    </row>
    <row r="371" spans="1:9" x14ac:dyDescent="0.25">
      <c r="A371" s="2" t="s">
        <v>161</v>
      </c>
      <c r="B371" s="2" t="s">
        <v>162</v>
      </c>
      <c r="C371" s="2" t="s">
        <v>51</v>
      </c>
      <c r="D371" s="2" t="s">
        <v>56</v>
      </c>
      <c r="E371" s="9" t="s">
        <v>43</v>
      </c>
      <c r="F371" s="2" t="s">
        <v>57</v>
      </c>
      <c r="G371" s="4">
        <v>1</v>
      </c>
      <c r="H371" s="5">
        <v>4701.55</v>
      </c>
      <c r="I371" s="47">
        <f t="shared" si="5"/>
        <v>4701.55</v>
      </c>
    </row>
    <row r="372" spans="1:9" x14ac:dyDescent="0.25">
      <c r="A372" s="6" t="s">
        <v>167</v>
      </c>
      <c r="B372" s="6" t="s">
        <v>162</v>
      </c>
      <c r="C372" s="6" t="s">
        <v>51</v>
      </c>
      <c r="D372" s="6" t="s">
        <v>58</v>
      </c>
      <c r="E372" s="9" t="s">
        <v>43</v>
      </c>
      <c r="F372" s="6" t="s">
        <v>59</v>
      </c>
      <c r="G372" s="7">
        <v>1</v>
      </c>
      <c r="H372" s="8">
        <v>10133.549999999999</v>
      </c>
      <c r="I372" s="48">
        <f t="shared" si="5"/>
        <v>10133.549999999999</v>
      </c>
    </row>
    <row r="373" spans="1:9" x14ac:dyDescent="0.25">
      <c r="A373" s="2" t="s">
        <v>165</v>
      </c>
      <c r="B373" s="2" t="s">
        <v>162</v>
      </c>
      <c r="C373" s="2" t="s">
        <v>60</v>
      </c>
      <c r="D373" s="2" t="s">
        <v>61</v>
      </c>
      <c r="E373" s="9" t="s">
        <v>43</v>
      </c>
      <c r="F373" s="2" t="s">
        <v>62</v>
      </c>
      <c r="G373" s="4">
        <v>1</v>
      </c>
      <c r="H373" s="5">
        <v>11225.74</v>
      </c>
      <c r="I373" s="47">
        <f t="shared" si="5"/>
        <v>11225.74</v>
      </c>
    </row>
    <row r="374" spans="1:9" x14ac:dyDescent="0.25">
      <c r="A374" s="6" t="s">
        <v>161</v>
      </c>
      <c r="B374" s="6" t="s">
        <v>162</v>
      </c>
      <c r="C374" s="6" t="s">
        <v>60</v>
      </c>
      <c r="D374" s="6" t="s">
        <v>63</v>
      </c>
      <c r="E374" s="9" t="s">
        <v>43</v>
      </c>
      <c r="F374" s="6" t="s">
        <v>64</v>
      </c>
      <c r="G374" s="7">
        <v>1</v>
      </c>
      <c r="H374" s="8">
        <v>4170.1099999999997</v>
      </c>
      <c r="I374" s="48">
        <f t="shared" si="5"/>
        <v>4170.1099999999997</v>
      </c>
    </row>
    <row r="375" spans="1:9" x14ac:dyDescent="0.25">
      <c r="A375" s="2" t="s">
        <v>164</v>
      </c>
      <c r="B375" s="2" t="s">
        <v>162</v>
      </c>
      <c r="C375" s="2" t="s">
        <v>60</v>
      </c>
      <c r="D375" s="2" t="s">
        <v>65</v>
      </c>
      <c r="E375" s="9" t="s">
        <v>43</v>
      </c>
      <c r="F375" s="2" t="s">
        <v>66</v>
      </c>
      <c r="G375" s="4">
        <v>1</v>
      </c>
      <c r="H375" s="5">
        <v>1850.94</v>
      </c>
      <c r="I375" s="47">
        <f t="shared" si="5"/>
        <v>1850.94</v>
      </c>
    </row>
    <row r="376" spans="1:9" x14ac:dyDescent="0.25">
      <c r="A376" s="6" t="s">
        <v>166</v>
      </c>
      <c r="B376" s="6" t="s">
        <v>162</v>
      </c>
      <c r="C376" s="6" t="s">
        <v>60</v>
      </c>
      <c r="D376" s="6" t="s">
        <v>67</v>
      </c>
      <c r="E376" s="9" t="s">
        <v>43</v>
      </c>
      <c r="F376" s="6" t="s">
        <v>68</v>
      </c>
      <c r="G376" s="7">
        <v>1</v>
      </c>
      <c r="H376" s="8">
        <v>673.34</v>
      </c>
      <c r="I376" s="48">
        <f t="shared" si="5"/>
        <v>673.34</v>
      </c>
    </row>
    <row r="377" spans="1:9" x14ac:dyDescent="0.25">
      <c r="A377" s="2" t="s">
        <v>163</v>
      </c>
      <c r="B377" s="2" t="s">
        <v>162</v>
      </c>
      <c r="C377" s="2" t="s">
        <v>60</v>
      </c>
      <c r="D377" s="2" t="s">
        <v>69</v>
      </c>
      <c r="E377" s="9" t="s">
        <v>43</v>
      </c>
      <c r="F377" s="2" t="s">
        <v>70</v>
      </c>
      <c r="G377" s="4">
        <v>1</v>
      </c>
      <c r="H377" s="5">
        <v>430.4</v>
      </c>
      <c r="I377" s="47">
        <f t="shared" si="5"/>
        <v>430.4</v>
      </c>
    </row>
    <row r="378" spans="1:9" x14ac:dyDescent="0.25">
      <c r="A378" s="6" t="s">
        <v>164</v>
      </c>
      <c r="B378" s="6" t="s">
        <v>162</v>
      </c>
      <c r="C378" s="6" t="s">
        <v>71</v>
      </c>
      <c r="D378" s="6" t="s">
        <v>72</v>
      </c>
      <c r="E378" s="9" t="s">
        <v>43</v>
      </c>
      <c r="F378" s="6" t="s">
        <v>73</v>
      </c>
      <c r="G378" s="7">
        <v>1</v>
      </c>
      <c r="H378" s="8">
        <v>2512.29</v>
      </c>
      <c r="I378" s="48">
        <f t="shared" si="5"/>
        <v>2512.29</v>
      </c>
    </row>
    <row r="379" spans="1:9" x14ac:dyDescent="0.25">
      <c r="A379" s="2" t="s">
        <v>165</v>
      </c>
      <c r="B379" s="2" t="s">
        <v>162</v>
      </c>
      <c r="C379" s="2" t="s">
        <v>71</v>
      </c>
      <c r="D379" s="2" t="s">
        <v>74</v>
      </c>
      <c r="E379" s="9" t="s">
        <v>43</v>
      </c>
      <c r="F379" s="2" t="s">
        <v>75</v>
      </c>
      <c r="G379" s="4">
        <v>1</v>
      </c>
      <c r="H379" s="5">
        <v>867.6</v>
      </c>
      <c r="I379" s="47">
        <f t="shared" si="5"/>
        <v>867.6</v>
      </c>
    </row>
    <row r="380" spans="1:9" x14ac:dyDescent="0.25">
      <c r="A380" s="6" t="s">
        <v>161</v>
      </c>
      <c r="B380" s="6" t="s">
        <v>162</v>
      </c>
      <c r="C380" s="6" t="s">
        <v>71</v>
      </c>
      <c r="D380" s="6" t="s">
        <v>76</v>
      </c>
      <c r="E380" s="9" t="s">
        <v>43</v>
      </c>
      <c r="F380" s="6" t="s">
        <v>77</v>
      </c>
      <c r="G380" s="7">
        <v>1</v>
      </c>
      <c r="H380" s="8">
        <v>530.52</v>
      </c>
      <c r="I380" s="48">
        <f t="shared" si="5"/>
        <v>530.52</v>
      </c>
    </row>
    <row r="381" spans="1:9" x14ac:dyDescent="0.25">
      <c r="A381" s="2" t="s">
        <v>164</v>
      </c>
      <c r="B381" s="2" t="s">
        <v>162</v>
      </c>
      <c r="C381" s="2" t="s">
        <v>71</v>
      </c>
      <c r="D381" s="2" t="s">
        <v>78</v>
      </c>
      <c r="E381" s="9" t="s">
        <v>43</v>
      </c>
      <c r="F381" s="2" t="s">
        <v>79</v>
      </c>
      <c r="G381" s="4">
        <v>1</v>
      </c>
      <c r="H381" s="5">
        <v>1310.79</v>
      </c>
      <c r="I381" s="47">
        <f t="shared" si="5"/>
        <v>1310.79</v>
      </c>
    </row>
    <row r="382" spans="1:9" x14ac:dyDescent="0.25">
      <c r="A382" s="6" t="s">
        <v>163</v>
      </c>
      <c r="B382" s="6" t="s">
        <v>162</v>
      </c>
      <c r="C382" s="6" t="s">
        <v>80</v>
      </c>
      <c r="D382" s="6" t="s">
        <v>81</v>
      </c>
      <c r="E382" s="9" t="s">
        <v>43</v>
      </c>
      <c r="F382" s="6" t="s">
        <v>82</v>
      </c>
      <c r="G382" s="7">
        <v>1</v>
      </c>
      <c r="H382" s="8">
        <v>1681.84</v>
      </c>
      <c r="I382" s="48">
        <f t="shared" si="5"/>
        <v>1681.84</v>
      </c>
    </row>
    <row r="383" spans="1:9" x14ac:dyDescent="0.25">
      <c r="A383" s="2" t="s">
        <v>166</v>
      </c>
      <c r="B383" s="2" t="s">
        <v>162</v>
      </c>
      <c r="C383" s="2" t="s">
        <v>80</v>
      </c>
      <c r="D383" s="2" t="s">
        <v>83</v>
      </c>
      <c r="E383" s="9" t="s">
        <v>43</v>
      </c>
      <c r="F383" s="2" t="s">
        <v>84</v>
      </c>
      <c r="G383" s="4">
        <v>1</v>
      </c>
      <c r="H383" s="5">
        <v>1038.0999999999999</v>
      </c>
      <c r="I383" s="47">
        <f t="shared" si="5"/>
        <v>1038.0999999999999</v>
      </c>
    </row>
    <row r="384" spans="1:9" x14ac:dyDescent="0.25">
      <c r="A384" s="6" t="s">
        <v>163</v>
      </c>
      <c r="B384" s="6" t="s">
        <v>162</v>
      </c>
      <c r="C384" s="6" t="s">
        <v>85</v>
      </c>
      <c r="D384" s="6" t="s">
        <v>86</v>
      </c>
      <c r="E384" s="9" t="s">
        <v>43</v>
      </c>
      <c r="F384" s="6" t="s">
        <v>87</v>
      </c>
      <c r="G384" s="7">
        <v>1</v>
      </c>
      <c r="H384" s="8">
        <v>9344.74</v>
      </c>
      <c r="I384" s="48">
        <f t="shared" si="5"/>
        <v>9344.74</v>
      </c>
    </row>
    <row r="385" spans="1:9" x14ac:dyDescent="0.25">
      <c r="A385" s="2" t="s">
        <v>165</v>
      </c>
      <c r="B385" s="2" t="s">
        <v>162</v>
      </c>
      <c r="C385" s="2" t="s">
        <v>85</v>
      </c>
      <c r="D385" s="2" t="s">
        <v>88</v>
      </c>
      <c r="E385" s="9" t="s">
        <v>43</v>
      </c>
      <c r="F385" s="2" t="s">
        <v>89</v>
      </c>
      <c r="G385" s="4">
        <v>1</v>
      </c>
      <c r="H385" s="5">
        <v>5244.38</v>
      </c>
      <c r="I385" s="47">
        <f t="shared" si="5"/>
        <v>5244.38</v>
      </c>
    </row>
    <row r="386" spans="1:9" x14ac:dyDescent="0.25">
      <c r="A386" s="6" t="s">
        <v>167</v>
      </c>
      <c r="B386" s="6" t="s">
        <v>162</v>
      </c>
      <c r="C386" s="6" t="s">
        <v>85</v>
      </c>
      <c r="D386" s="6" t="s">
        <v>90</v>
      </c>
      <c r="E386" s="9" t="s">
        <v>43</v>
      </c>
      <c r="F386" s="6" t="s">
        <v>91</v>
      </c>
      <c r="G386" s="7">
        <v>1</v>
      </c>
      <c r="H386" s="8">
        <v>378.75</v>
      </c>
      <c r="I386" s="48">
        <f t="shared" si="5"/>
        <v>378.75</v>
      </c>
    </row>
    <row r="387" spans="1:9" ht="21.75" customHeight="1" x14ac:dyDescent="0.25">
      <c r="A387" s="51" t="s">
        <v>168</v>
      </c>
      <c r="B387" s="51"/>
      <c r="C387" s="51"/>
      <c r="D387" s="51"/>
      <c r="E387" s="51"/>
      <c r="F387" s="51"/>
      <c r="G387" s="51"/>
      <c r="H387" s="51"/>
      <c r="I387" s="10">
        <f>SUMIF(E3:E386,"Receita",I3:I386)-SUMIF(E3:E386,"Despesa",I3:I386)</f>
        <v>38244.459999998566</v>
      </c>
    </row>
    <row r="389" spans="1:9" ht="18" customHeight="1" x14ac:dyDescent="0.25">
      <c r="A389" s="52" t="s">
        <v>169</v>
      </c>
      <c r="B389" s="52"/>
      <c r="C389" s="52"/>
      <c r="D389" s="52"/>
      <c r="E389" s="52"/>
      <c r="F389" s="52"/>
      <c r="G389" s="52"/>
      <c r="H389" s="52"/>
      <c r="I389" s="52"/>
    </row>
  </sheetData>
  <autoFilter ref="A2:I387" xr:uid="{00000000-0009-0000-0000-000000000000}"/>
  <mergeCells count="3">
    <mergeCell ref="A1:I1"/>
    <mergeCell ref="A387:H387"/>
    <mergeCell ref="A389:I38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4B2B-8185-4637-8B5B-55392F6CB29B}">
  <sheetPr>
    <tabColor theme="6" tint="-0.499984740745262"/>
  </sheetPr>
  <dimension ref="A1:N32"/>
  <sheetViews>
    <sheetView zoomScale="70" zoomScaleNormal="70" workbookViewId="0">
      <selection activeCell="B9" sqref="B9"/>
    </sheetView>
  </sheetViews>
  <sheetFormatPr defaultRowHeight="15" x14ac:dyDescent="0.25"/>
  <cols>
    <col min="1" max="1" width="18.85546875" customWidth="1"/>
    <col min="2" max="13" width="13.28515625" bestFit="1" customWidth="1"/>
    <col min="14" max="14" width="15" bestFit="1" customWidth="1"/>
  </cols>
  <sheetData>
    <row r="1" spans="1:14" ht="37.5" customHeight="1" thickBot="1" x14ac:dyDescent="0.3">
      <c r="A1" s="53" t="s">
        <v>170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3" spans="1:14" ht="43.5" customHeight="1" x14ac:dyDescent="0.25">
      <c r="B3" s="1" t="s">
        <v>171</v>
      </c>
      <c r="C3" s="1" t="s">
        <v>172</v>
      </c>
      <c r="D3" s="1" t="s">
        <v>173</v>
      </c>
      <c r="E3" s="1" t="s">
        <v>174</v>
      </c>
      <c r="F3" s="1" t="s">
        <v>175</v>
      </c>
      <c r="G3" s="1" t="s">
        <v>176</v>
      </c>
      <c r="H3" s="1" t="s">
        <v>177</v>
      </c>
      <c r="I3" s="1" t="s">
        <v>178</v>
      </c>
      <c r="J3" s="1" t="s">
        <v>179</v>
      </c>
      <c r="K3" s="1" t="s">
        <v>180</v>
      </c>
      <c r="L3" s="1" t="s">
        <v>181</v>
      </c>
      <c r="M3" s="1" t="s">
        <v>182</v>
      </c>
      <c r="N3" s="11" t="s">
        <v>183</v>
      </c>
    </row>
    <row r="4" spans="1:14" x14ac:dyDescent="0.25">
      <c r="A4" s="54" t="s">
        <v>184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ht="39" customHeight="1" x14ac:dyDescent="0.25">
      <c r="A5" s="32" t="s">
        <v>11</v>
      </c>
      <c r="B5" s="13" cm="1">
        <f t="array" ref="B5">SUMPRODUCT(('📋 Lançamentos'!$B$3:$B$386="Janeiro")*('📋 Lançamentos'!$E$3:$E$386="Receita")*('📋 Lançamentos'!$C$3:$C$386="Vendas Salão"),'📋 Lançamentos'!$I$3:$I$386)</f>
        <v>27568</v>
      </c>
      <c r="C5" s="13" cm="1">
        <f t="array" ref="C5">SUMPRODUCT(('📋 Lançamentos'!$B$3:$B$386="Fevereiro")*('📋 Lançamentos'!$E$3:$E$386="Receita")*('📋 Lançamentos'!$C$3:$C$386="Vendas Salão"),'📋 Lançamentos'!$I$3:$I$386)</f>
        <v>28418</v>
      </c>
      <c r="D5" s="13" cm="1">
        <f t="array" ref="D5">SUMPRODUCT(('📋 Lançamentos'!$B$3:$B$386="Março")*('📋 Lançamentos'!$E$3:$E$386="Receita")*('📋 Lançamentos'!$C$3:$C$386="Vendas Salão"),'📋 Lançamentos'!$I$3:$I$386)</f>
        <v>32482</v>
      </c>
      <c r="E5" s="13" cm="1">
        <f t="array" ref="E5">SUMPRODUCT(('📋 Lançamentos'!B$3:B$386="Abril")*('📋 Lançamentos'!E$3:E$386="Receita")*('📋 Lançamentos'!C$3:C$386="Vendas Salão"),'📋 Lançamentos'!I$3:I$386)</f>
        <v>36752</v>
      </c>
      <c r="F5" s="13" cm="1">
        <f t="array" ref="F5">SUMPRODUCT(('📋 Lançamentos'!B$3:B$386="Maio")*('📋 Lançamentos'!E$3:E$386="Receita")*('📋 Lançamentos'!C$3:C$386="Vendas Salão"),'📋 Lançamentos'!I$3:I$386)</f>
        <v>37384</v>
      </c>
      <c r="G5" s="13" cm="1">
        <f t="array" ref="G5">SUMPRODUCT(('📋 Lançamentos'!B$3:B$386="Junho")*('📋 Lançamentos'!E$3:E$386="Receita")*('📋 Lançamentos'!C$3:C$386="Vendas Salão"),'📋 Lançamentos'!I$3:I$386)</f>
        <v>40256</v>
      </c>
      <c r="H5" s="13" cm="1">
        <f t="array" ref="H5">SUMPRODUCT(('📋 Lançamentos'!B$3:B$386="Julho")*('📋 Lançamentos'!E$3:E$386="Receita")*('📋 Lançamentos'!C$3:C$386="Vendas Salão"),'📋 Lançamentos'!I$3:I$386)</f>
        <v>42388</v>
      </c>
      <c r="I5" s="13" cm="1">
        <f t="array" ref="I5">SUMPRODUCT(('📋 Lançamentos'!B$3:B$386="Agosto")*('📋 Lançamentos'!E$3:E$386="Receita")*('📋 Lançamentos'!C$3:C$386="Vendas Salão"),'📋 Lançamentos'!I$3:I$386)</f>
        <v>39418</v>
      </c>
      <c r="J5" s="13" cm="1">
        <f t="array" ref="J5">SUMPRODUCT(('📋 Lançamentos'!B$3:B$386="Setembro")*('📋 Lançamentos'!E$3:E$386="Receita")*('📋 Lançamentos'!C$3:C$386="Vendas Salão"),'📋 Lançamentos'!I$3:I$386)</f>
        <v>35494</v>
      </c>
      <c r="K5" s="13" cm="1">
        <f t="array" ref="K5">SUMPRODUCT(('📋 Lançamentos'!B$3:B$386="Outubro")*('📋 Lançamentos'!E$3:E$386="Receita")*('📋 Lançamentos'!C$3:C$386="Vendas Salão"),'📋 Lançamentos'!I$3:I$386)</f>
        <v>37566</v>
      </c>
      <c r="L5" s="13" cm="1">
        <f t="array" ref="L5">SUMPRODUCT(('📋 Lançamentos'!B$3:B$386="Novembro")*('📋 Lançamentos'!E$3:E$386="Receita")*('📋 Lançamentos'!C$3:C$386="Vendas Salão"),'📋 Lançamentos'!I$3:I$386)</f>
        <v>40356</v>
      </c>
      <c r="M5" s="13" cm="1">
        <f t="array" ref="M5">SUMPRODUCT(('📋 Lançamentos'!B$3:B$386="Dezembro")*('📋 Lançamentos'!E$3:E$386="Receita")*('📋 Lançamentos'!C$3:C$386="Vendas Salão"),'📋 Lançamentos'!I$3:I$386)</f>
        <v>49238</v>
      </c>
      <c r="N5" s="13">
        <f>SUM(B5:M5)</f>
        <v>447320</v>
      </c>
    </row>
    <row r="6" spans="1:14" ht="27" customHeight="1" x14ac:dyDescent="0.25">
      <c r="A6" s="32" t="s">
        <v>21</v>
      </c>
      <c r="B6" s="13" cm="1">
        <f t="array" ref="B6">SUMPRODUCT(('📋 Lançamentos'!$B$3:$B$386="Janeiro")*('📋 Lançamentos'!$E$3:$E$386="Receita")*('📋 Lançamentos'!$C$3:$C$386="Bebidas"),'📋 Lançamentos'!$I$3:$I$386)</f>
        <v>19455</v>
      </c>
      <c r="C6" s="13" cm="1">
        <f t="array" ref="C6">SUMPRODUCT(('📋 Lançamentos'!$B$3:$B$386="Fevereiro")*('📋 Lançamentos'!$E$3:$E$386="Receita")*('📋 Lançamentos'!$C$3:$C$386="Bebidas"),'📋 Lançamentos'!$I$3:$I$386)</f>
        <v>20270</v>
      </c>
      <c r="D6" s="13" cm="1">
        <f t="array" ref="D6">SUMPRODUCT(('📋 Lançamentos'!$B$3:$B$386="Março")*('📋 Lançamentos'!$E$3:$E$386="Receita")*('📋 Lançamentos'!$C$3:$C$386="Bebidas"),'📋 Lançamentos'!$I$3:$I$386)</f>
        <v>22647</v>
      </c>
      <c r="E6" s="13" cm="1">
        <f t="array" ref="E6">SUMPRODUCT(('📋 Lançamentos'!$B$3:$B$386="Abril")*('📋 Lançamentos'!$E$3:$E$386="Receita")*('📋 Lançamentos'!$C$3:$C$386="Bebidas"),'📋 Lançamentos'!$I$3:$I$386)</f>
        <v>25328</v>
      </c>
      <c r="F6" s="13" cm="1">
        <f t="array" ref="F6">SUMPRODUCT(('📋 Lançamentos'!$B$3:$B$386="Maio")*('📋 Lançamentos'!$E$3:$E$386="Receita")*('📋 Lançamentos'!$C$3:$C$386="Bebidas"),'📋 Lançamentos'!$I$3:$I$386)</f>
        <v>25634</v>
      </c>
      <c r="G6" s="13" cm="1">
        <f t="array" ref="G6">SUMPRODUCT(('📋 Lançamentos'!$B$3:$B$386="Junho")*('📋 Lançamentos'!$E$3:$E$386="Receita")*('📋 Lançamentos'!$C$3:$C$386="Bebidas"),'📋 Lançamentos'!$I$3:$I$386)</f>
        <v>28029</v>
      </c>
      <c r="H6" s="13" cm="1">
        <f t="array" ref="H6">SUMPRODUCT(('📋 Lançamentos'!$B$3:$B$386="Julho")*('📋 Lançamentos'!$E$3:$E$386="Receita")*('📋 Lançamentos'!$C$3:$C$386="Bebidas"),'📋 Lançamentos'!$I$3:$I$386)</f>
        <v>26653</v>
      </c>
      <c r="I6" s="13" cm="1">
        <f t="array" ref="I6">SUMPRODUCT(('📋 Lançamentos'!$B$3:$B$386="Agosto")*('📋 Lançamentos'!$E$3:$E$386="Receita")*('📋 Lançamentos'!$C$3:$C$386="Bebidas"),'📋 Lançamentos'!$I$3:$I$386)</f>
        <v>26405</v>
      </c>
      <c r="J6" s="13" cm="1">
        <f t="array" ref="J6">SUMPRODUCT(('📋 Lançamentos'!$B$3:$B$386="Setembro")*('📋 Lançamentos'!$E$3:$E$386="Receita")*('📋 Lançamentos'!$C$3:$C$386="Bebidas"),'📋 Lançamentos'!$I$3:$I$386)</f>
        <v>25961</v>
      </c>
      <c r="K6" s="13" cm="1">
        <f t="array" ref="K6">SUMPRODUCT(('📋 Lançamentos'!$B$3:$B$386="Outubro")*('📋 Lançamentos'!$E$3:$E$386="Receita")*('📋 Lançamentos'!$C$3:$C$386="Bebidas"),'📋 Lançamentos'!$I$3:$I$386)</f>
        <v>28230</v>
      </c>
      <c r="L6" s="13" cm="1">
        <f t="array" ref="L6">SUMPRODUCT(('📋 Lançamentos'!$B$3:$B$386="Novembro")*('📋 Lançamentos'!$E$3:$E$386="Receita")*('📋 Lançamentos'!$C$3:$C$386="Bebidas"),'📋 Lançamentos'!$I$3:$I$386)</f>
        <v>28393</v>
      </c>
      <c r="M6" s="13" cm="1">
        <f t="array" ref="M6">SUMPRODUCT(('📋 Lançamentos'!$B$3:$B$386="Dezembro")*('📋 Lançamentos'!$E$3:$E$386="Receita")*('📋 Lançamentos'!$C$3:$C$386="Bebidas"),'📋 Lançamentos'!$I$3:$I$386)</f>
        <v>32801</v>
      </c>
      <c r="N6" s="13">
        <f t="shared" ref="N6:N9" si="0">SUM(B6:M6)</f>
        <v>309806</v>
      </c>
    </row>
    <row r="7" spans="1:14" x14ac:dyDescent="0.25">
      <c r="A7" s="32" t="s">
        <v>30</v>
      </c>
      <c r="B7" s="13" cm="1">
        <f t="array" ref="B7">SUMPRODUCT(('📋 Lançamentos'!$B$3:$B$386="Janeiro")*('📋 Lançamentos'!$E$3:$E$386="Receita")*('📋 Lançamentos'!$C$3:$C$386="Delivery"),'📋 Lançamentos'!$I$3:$I$386)</f>
        <v>27253</v>
      </c>
      <c r="C7" s="13" cm="1">
        <f t="array" ref="C7">SUMPRODUCT(('📋 Lançamentos'!$B$3:$B$386="Fevereiro")*('📋 Lançamentos'!$E$3:$E$386="Receita")*('📋 Lançamentos'!$C$3:$C$386="Delivery"),'📋 Lançamentos'!$I$3:$I$386)</f>
        <v>27196</v>
      </c>
      <c r="D7" s="13" cm="1">
        <f t="array" ref="D7">SUMPRODUCT(('📋 Lançamentos'!$B$3:$B$386="Março")*('📋 Lançamentos'!$E$3:$E$386="Receita")*('📋 Lançamentos'!$C$3:$C$386="Delivery"),'📋 Lançamentos'!$I$3:$I$386)</f>
        <v>31493</v>
      </c>
      <c r="E7" s="13" cm="1">
        <f t="array" ref="E7">SUMPRODUCT(('📋 Lançamentos'!$B$3:$B$386="Abril")*('📋 Lançamentos'!$E$3:$E$386="Receita")*('📋 Lançamentos'!$C$3:$C$386="Delivery"),'📋 Lançamentos'!$I$3:$I$386)</f>
        <v>35208</v>
      </c>
      <c r="F7" s="13" cm="1">
        <f t="array" ref="F7">SUMPRODUCT(('📋 Lançamentos'!$B$3:$B$386="Maio")*('📋 Lançamentos'!$E$3:$E$386="Receita")*('📋 Lançamentos'!$C$3:$C$386="Delivery"),'📋 Lançamentos'!$I$3:$I$386)</f>
        <v>35953</v>
      </c>
      <c r="G7" s="13" cm="1">
        <f t="array" ref="G7">SUMPRODUCT(('📋 Lançamentos'!$B$3:$B$386="Junho")*('📋 Lançamentos'!$E$3:$E$386="Receita")*('📋 Lançamentos'!$C$3:$C$386="Delivery"),'📋 Lançamentos'!$I$3:$I$386)</f>
        <v>39246</v>
      </c>
      <c r="H7" s="13" cm="1">
        <f t="array" ref="H7">SUMPRODUCT(('📋 Lançamentos'!$B$3:$B$386="Julho")*('📋 Lançamentos'!$E$3:$E$386="Receita")*('📋 Lançamentos'!$C$3:$C$386="Delivery"),'📋 Lançamentos'!$I$3:$I$386)</f>
        <v>40116</v>
      </c>
      <c r="I7" s="13" cm="1">
        <f t="array" ref="I7">SUMPRODUCT(('📋 Lançamentos'!$B$3:$B$386="Agosto")*('📋 Lançamentos'!$E$3:$E$386="Receita")*('📋 Lançamentos'!$C$3:$C$386="Delivery"),'📋 Lançamentos'!$I$3:$I$386)</f>
        <v>34473</v>
      </c>
      <c r="J7" s="13" cm="1">
        <f t="array" ref="J7">SUMPRODUCT(('📋 Lançamentos'!$B$3:$B$386="Setembro")*('📋 Lançamentos'!$E$3:$E$386="Receita")*('📋 Lançamentos'!$C$3:$C$386="Delivery"),'📋 Lançamentos'!$I$3:$I$386)</f>
        <v>34243</v>
      </c>
      <c r="K7" s="13" cm="1">
        <f t="array" ref="K7">SUMPRODUCT(('📋 Lançamentos'!$B$3:$B$386="Outubro")*('📋 Lançamentos'!$E$3:$E$386="Receita")*('📋 Lançamentos'!$C$3:$C$386="Delivery"),'📋 Lançamentos'!$I$3:$I$386)</f>
        <v>36416</v>
      </c>
      <c r="L7" s="13" cm="1">
        <f t="array" ref="L7">SUMPRODUCT(('📋 Lançamentos'!$B$3:$B$386="Novembro")*('📋 Lançamentos'!$E$3:$E$386="Receita")*('📋 Lançamentos'!$C$3:$C$386="Delivery"),'📋 Lançamentos'!$I$3:$I$386)</f>
        <v>39816</v>
      </c>
      <c r="M7" s="13" cm="1">
        <f t="array" ref="M7">SUMPRODUCT(('📋 Lançamentos'!$B$3:$B$386="Dezembro")*('📋 Lançamentos'!$E$3:$E$386="Receita")*('📋 Lançamentos'!$C$3:$C$386="Delivery"),'📋 Lançamentos'!$I$3:$I$386)</f>
        <v>47960</v>
      </c>
      <c r="N7" s="13">
        <f t="shared" si="0"/>
        <v>429373</v>
      </c>
    </row>
    <row r="8" spans="1:14" x14ac:dyDescent="0.25">
      <c r="A8" s="32" t="s">
        <v>36</v>
      </c>
      <c r="B8" s="13" cm="1">
        <f t="array" ref="B8">SUMPRODUCT(('📋 Lançamentos'!$B$3:$B$386="Janeiro")*('📋 Lançamentos'!$E$3:$E$386="Receita")*('📋 Lançamentos'!$C$3:$C$386="Eventos"),'📋 Lançamentos'!$I$3:$I$386)</f>
        <v>8650</v>
      </c>
      <c r="C8" s="13" cm="1">
        <f t="array" ref="C8">SUMPRODUCT(('📋 Lançamentos'!$B$3:$B$386="Fevereiro")*('📋 Lançamentos'!$E$3:$E$386="Receita")*('📋 Lançamentos'!$C$3:$C$386="Eventos"),'📋 Lançamentos'!$I$3:$I$386)</f>
        <v>8650</v>
      </c>
      <c r="D8" s="13" cm="1">
        <f t="array" ref="D8">SUMPRODUCT(('📋 Lançamentos'!$B$3:$B$386="Março")*('📋 Lançamentos'!$E$3:$E$386="Receita")*('📋 Lançamentos'!$C$3:$C$386="Eventos"),'📋 Lançamentos'!$I$3:$I$386)</f>
        <v>11100</v>
      </c>
      <c r="E8" s="13" cm="1">
        <f t="array" ref="E8">SUMPRODUCT(('📋 Lançamentos'!$B$3:$B$386="Abril")*('📋 Lançamentos'!$E$3:$E$386="Receita")*('📋 Lançamentos'!$C$3:$C$386="Eventos"),'📋 Lançamentos'!$I$3:$I$386)</f>
        <v>11100</v>
      </c>
      <c r="F8" s="13" cm="1">
        <f t="array" ref="F8">SUMPRODUCT(('📋 Lançamentos'!$B$3:$B$386="Maio")*('📋 Lançamentos'!$E$3:$E$386="Receita")*('📋 Lançamentos'!$C$3:$C$386="Eventos"),'📋 Lançamentos'!$I$3:$I$386)</f>
        <v>11100</v>
      </c>
      <c r="G8" s="13" cm="1">
        <f t="array" ref="G8">SUMPRODUCT(('📋 Lançamentos'!$B$3:$B$386="Junho")*('📋 Lançamentos'!$E$3:$E$386="Receita")*('📋 Lançamentos'!$C$3:$C$386="Eventos"),'📋 Lançamentos'!$I$3:$I$386)</f>
        <v>11100</v>
      </c>
      <c r="H8" s="13" cm="1">
        <f t="array" ref="H8">SUMPRODUCT(('📋 Lançamentos'!$B$3:$B$386="Julho")*('📋 Lançamentos'!$E$3:$E$386="Receita")*('📋 Lançamentos'!$C$3:$C$386="Eventos"),'📋 Lançamentos'!$I$3:$I$386)</f>
        <v>11100</v>
      </c>
      <c r="I8" s="13" cm="1">
        <f t="array" ref="I8">SUMPRODUCT(('📋 Lançamentos'!$B$3:$B$386="Agosto")*('📋 Lançamentos'!$E$3:$E$386="Receita")*('📋 Lançamentos'!$C$3:$C$386="Eventos"),'📋 Lançamentos'!$I$3:$I$386)</f>
        <v>11100</v>
      </c>
      <c r="J8" s="13" cm="1">
        <f t="array" ref="J8">SUMPRODUCT(('📋 Lançamentos'!$B$3:$B$386="Setembro")*('📋 Lançamentos'!$E$3:$E$386="Receita")*('📋 Lançamentos'!$C$3:$C$386="Eventos"),'📋 Lançamentos'!$I$3:$I$386)</f>
        <v>11750</v>
      </c>
      <c r="K8" s="13" cm="1">
        <f t="array" ref="K8">SUMPRODUCT(('📋 Lançamentos'!$B$3:$B$386="Outubro")*('📋 Lançamentos'!$E$3:$E$386="Receita")*('📋 Lançamentos'!$C$3:$C$386="Eventos"),'📋 Lançamentos'!$I$3:$I$386)</f>
        <v>13550</v>
      </c>
      <c r="L8" s="13" cm="1">
        <f t="array" ref="L8">SUMPRODUCT(('📋 Lançamentos'!$B$3:$B$386="Novembro")*('📋 Lançamentos'!$E$3:$E$386="Receita")*('📋 Lançamentos'!$C$3:$C$386="Eventos"),'📋 Lançamentos'!$I$3:$I$386)</f>
        <v>13550</v>
      </c>
      <c r="M8" s="13" cm="1">
        <f t="array" ref="M8">SUMPRODUCT(('📋 Lançamentos'!$B$3:$B$386="Dezembro")*('📋 Lançamentos'!$E$3:$E$386="Receita")*('📋 Lançamentos'!$C$3:$C$386="Eventos"),'📋 Lançamentos'!$I$3:$I$386)</f>
        <v>14200</v>
      </c>
      <c r="N8" s="13">
        <f t="shared" si="0"/>
        <v>136950</v>
      </c>
    </row>
    <row r="9" spans="1:14" ht="25.5" x14ac:dyDescent="0.25">
      <c r="A9" s="14" t="s">
        <v>185</v>
      </c>
      <c r="B9" s="15">
        <f>SUM(B5:B8)</f>
        <v>82926</v>
      </c>
      <c r="C9" s="15">
        <f t="shared" ref="C9:M9" si="1">SUM(C5:C8)</f>
        <v>84534</v>
      </c>
      <c r="D9" s="15">
        <f t="shared" si="1"/>
        <v>97722</v>
      </c>
      <c r="E9" s="15">
        <f t="shared" si="1"/>
        <v>108388</v>
      </c>
      <c r="F9" s="15">
        <f t="shared" si="1"/>
        <v>110071</v>
      </c>
      <c r="G9" s="15">
        <f t="shared" si="1"/>
        <v>118631</v>
      </c>
      <c r="H9" s="15">
        <f t="shared" si="1"/>
        <v>120257</v>
      </c>
      <c r="I9" s="15">
        <f t="shared" si="1"/>
        <v>111396</v>
      </c>
      <c r="J9" s="15">
        <f t="shared" si="1"/>
        <v>107448</v>
      </c>
      <c r="K9" s="15">
        <f t="shared" si="1"/>
        <v>115762</v>
      </c>
      <c r="L9" s="15">
        <f t="shared" si="1"/>
        <v>122115</v>
      </c>
      <c r="M9" s="15">
        <f t="shared" si="1"/>
        <v>144199</v>
      </c>
      <c r="N9" s="15">
        <f t="shared" si="0"/>
        <v>1323449</v>
      </c>
    </row>
    <row r="10" spans="1:14" x14ac:dyDescent="0.25">
      <c r="A10" s="55" t="s">
        <v>186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14" ht="38.25" x14ac:dyDescent="0.25">
      <c r="A11" s="12" t="s">
        <v>187</v>
      </c>
      <c r="B11" s="13" cm="1">
        <f t="array" ref="B11">SUMPRODUCT(('📋 Lançamentos'!$B$3:$B$10000="Janeiro")*('📋 Lançamentos'!$E$3:$E$10000="Despesa")*('📋 Lançamentos'!$C$3:$C$10000="Taxas/Impostos"),'📋 Lançamentos'!$I$3:$I$10000)</f>
        <v>8631.26</v>
      </c>
      <c r="C11" s="13" cm="1">
        <f t="array" ref="C11">SUMPRODUCT(('📋 Lançamentos'!$B$3:$B$10000="Fevereiro")*('📋 Lançamentos'!$E$3:$E$10000="Despesa")*('📋 Lançamentos'!$C$3:$C$10000="Taxas/Impostos"),'📋 Lançamentos'!$I$3:$I$10000)</f>
        <v>8845.9100000000017</v>
      </c>
      <c r="D11" s="13" cm="1">
        <f t="array" ref="D11">SUMPRODUCT(('📋 Lançamentos'!$B$3:$B$10000="Março")*('📋 Lançamentos'!$E$3:$E$10000="Despesa")*('📋 Lançamentos'!$C$3:$C$10000="Taxas/Impostos"),'📋 Lançamentos'!$I$3:$I$10000)</f>
        <v>9923.7699999999986</v>
      </c>
      <c r="E11" s="13" cm="1">
        <f t="array" ref="E11">SUMPRODUCT(('📋 Lançamentos'!$B$3:$B$10000="Abril")*('📋 Lançamentos'!$E$3:$E$10000="Despesa")*('📋 Lançamentos'!$C$3:$C$10000="Taxas/Impostos"),'📋 Lançamentos'!$I$3:$I$10000)</f>
        <v>10759.13</v>
      </c>
      <c r="F11" s="13" cm="1">
        <f t="array" ref="F11">SUMPRODUCT(('📋 Lançamentos'!$B$3:$B$10000="Maio")*('📋 Lançamentos'!$E$3:$E$10000="Despesa")*('📋 Lançamentos'!$C$3:$C$10000="Taxas/Impostos"),'📋 Lançamentos'!$I$3:$I$10000)</f>
        <v>11241.16</v>
      </c>
      <c r="G11" s="13" cm="1">
        <f t="array" ref="G11">SUMPRODUCT(('📋 Lançamentos'!$B$3:$B$10000="Junho")*('📋 Lançamentos'!$E$3:$E$10000="Despesa")*('📋 Lançamentos'!$C$3:$C$10000="Taxas/Impostos"),'📋 Lançamentos'!$I$3:$I$10000)</f>
        <v>11865.84</v>
      </c>
      <c r="H11" s="13" cm="1">
        <f t="array" ref="H11">SUMPRODUCT(('📋 Lançamentos'!$B$3:$B$10000="Julho")*('📋 Lançamentos'!$E$3:$E$10000="Despesa")*('📋 Lançamentos'!$C$3:$C$10000="Taxas/Impostos"),'📋 Lançamentos'!$I$3:$I$10000)</f>
        <v>12958.37</v>
      </c>
      <c r="I11" s="13" cm="1">
        <f t="array" ref="I11">SUMPRODUCT(('📋 Lançamentos'!$B$3:$B$10000="Agosto")*('📋 Lançamentos'!$E$3:$E$10000="Despesa")*('📋 Lançamentos'!$C$3:$C$10000="Taxas/Impostos"),'📋 Lançamentos'!$I$3:$I$10000)</f>
        <v>12059.26</v>
      </c>
      <c r="J11" s="13" cm="1">
        <f t="array" ref="J11">SUMPRODUCT(('📋 Lançamentos'!$B$3:$B$10000="Setembro")*('📋 Lançamentos'!$E$3:$E$10000="Despesa")*('📋 Lançamentos'!$C$3:$C$10000="Taxas/Impostos"),'📋 Lançamentos'!$I$3:$I$10000)</f>
        <v>11177.17</v>
      </c>
      <c r="K11" s="13" cm="1">
        <f t="array" ref="K11">SUMPRODUCT(('📋 Lançamentos'!$B$3:$B$10000="Outubro")*('📋 Lançamentos'!$E$3:$E$10000="Despesa")*('📋 Lançamentos'!$C$3:$C$10000="Taxas/Impostos"),'📋 Lançamentos'!$I$3:$I$10000)</f>
        <v>12257.16</v>
      </c>
      <c r="L11" s="13" cm="1">
        <f t="array" ref="L11">SUMPRODUCT(('📋 Lançamentos'!$B$3:$B$10000="Novembro")*('📋 Lançamentos'!$E$3:$E$10000="Despesa")*('📋 Lançamentos'!$C$3:$C$10000="Taxas/Impostos"),'📋 Lançamentos'!$I$3:$I$10000)</f>
        <v>13012.7</v>
      </c>
      <c r="M11" s="13" cm="1">
        <f t="array" ref="M11">SUMPRODUCT(('📋 Lançamentos'!$B$3:$B$10000="Dezembro")*('📋 Lançamentos'!$E$3:$E$10000="Despesa")*('📋 Lançamentos'!$C$3:$C$10000="Taxas/Impostos"),'📋 Lançamentos'!$I$3:$I$10000)</f>
        <v>14967.869999999999</v>
      </c>
      <c r="N11" s="13">
        <f>SUM(B11:M11)</f>
        <v>137699.59999999998</v>
      </c>
    </row>
    <row r="12" spans="1:14" x14ac:dyDescent="0.25">
      <c r="A12" s="16" t="s">
        <v>188</v>
      </c>
      <c r="B12" s="17">
        <f>-B11</f>
        <v>-8631.26</v>
      </c>
      <c r="C12" s="17">
        <f t="shared" ref="C12:M12" si="2">-C11</f>
        <v>-8845.9100000000017</v>
      </c>
      <c r="D12" s="17">
        <f t="shared" si="2"/>
        <v>-9923.7699999999986</v>
      </c>
      <c r="E12" s="17">
        <f t="shared" si="2"/>
        <v>-10759.13</v>
      </c>
      <c r="F12" s="17">
        <f t="shared" si="2"/>
        <v>-11241.16</v>
      </c>
      <c r="G12" s="17">
        <f t="shared" si="2"/>
        <v>-11865.84</v>
      </c>
      <c r="H12" s="17">
        <f t="shared" si="2"/>
        <v>-12958.37</v>
      </c>
      <c r="I12" s="17">
        <f t="shared" si="2"/>
        <v>-12059.26</v>
      </c>
      <c r="J12" s="17">
        <f t="shared" si="2"/>
        <v>-11177.17</v>
      </c>
      <c r="K12" s="17">
        <f t="shared" si="2"/>
        <v>-12257.16</v>
      </c>
      <c r="L12" s="17">
        <f t="shared" si="2"/>
        <v>-13012.7</v>
      </c>
      <c r="M12" s="17">
        <f t="shared" si="2"/>
        <v>-14967.869999999999</v>
      </c>
      <c r="N12" s="17">
        <f>SUM(B12:M12)</f>
        <v>-137699.59999999998</v>
      </c>
    </row>
    <row r="13" spans="1:14" x14ac:dyDescent="0.25">
      <c r="A13" s="18" t="s">
        <v>189</v>
      </c>
      <c r="B13" s="19">
        <f>B9+B12</f>
        <v>74294.740000000005</v>
      </c>
      <c r="C13" s="19">
        <f>C9+C12</f>
        <v>75688.09</v>
      </c>
      <c r="D13" s="19">
        <f>D9+D12</f>
        <v>87798.23</v>
      </c>
      <c r="E13" s="19">
        <f t="shared" ref="E13:M13" si="3">E9+E12</f>
        <v>97628.87</v>
      </c>
      <c r="F13" s="19">
        <f t="shared" si="3"/>
        <v>98829.84</v>
      </c>
      <c r="G13" s="19">
        <f t="shared" si="3"/>
        <v>106765.16</v>
      </c>
      <c r="H13" s="19">
        <f t="shared" si="3"/>
        <v>107298.63</v>
      </c>
      <c r="I13" s="19">
        <f t="shared" si="3"/>
        <v>99336.74</v>
      </c>
      <c r="J13" s="19">
        <f t="shared" si="3"/>
        <v>96270.83</v>
      </c>
      <c r="K13" s="19">
        <f t="shared" si="3"/>
        <v>103504.84</v>
      </c>
      <c r="L13" s="19">
        <f t="shared" si="3"/>
        <v>109102.3</v>
      </c>
      <c r="M13" s="19">
        <f t="shared" si="3"/>
        <v>129231.13</v>
      </c>
      <c r="N13" s="19">
        <f>SUM(B13:M13)</f>
        <v>1185749.3999999999</v>
      </c>
    </row>
    <row r="15" spans="1:14" x14ac:dyDescent="0.25">
      <c r="A15" s="56" t="s">
        <v>190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</row>
    <row r="16" spans="1:14" x14ac:dyDescent="0.25">
      <c r="A16" s="20" t="s">
        <v>72</v>
      </c>
      <c r="B16" s="21" cm="1">
        <f t="array" ref="B16">SUMPRODUCT(('📋 Lançamentos'!$B$3:$B$10000="Janeiro")*('📋 Lançamentos'!$E$3:$E$10000="Despesa")*('📋 Lançamentos'!$D$3:$D$10000="Embalagens Delivery"),'📋 Lançamentos'!$I$3:$I$10000)</f>
        <v>1400.93</v>
      </c>
      <c r="C16" s="21" cm="1">
        <f t="array" ref="C16">SUMPRODUCT(('📋 Lançamentos'!$B$3:$B$10000="Fevereiro")*('📋 Lançamentos'!$E$3:$E$10000="Despesa")*('📋 Lançamentos'!$D$3:$D$10000="Embalagens Delivery"),'📋 Lançamentos'!$I$3:$I$10000)</f>
        <v>1464.09</v>
      </c>
      <c r="D16" s="21" cm="1">
        <f t="array" ref="D16">SUMPRODUCT(('📋 Lançamentos'!$B$3:$B$10000="Março")*('📋 Lançamentos'!$E$3:$E$10000="Despesa")*('📋 Lançamentos'!$D$3:$D$10000="Embalagens Delivery"),'📋 Lançamentos'!$I$3:$I$10000)</f>
        <v>1589.02</v>
      </c>
      <c r="E16" s="21" cm="1">
        <f t="array" ref="E16">SUMPRODUCT(('📋 Lançamentos'!$B$3:$B$10000="Abril")*('📋 Lançamentos'!$E$3:$E$10000="Despesa")*('📋 Lançamentos'!$D$3:$D$10000="Embalagens Delivery"),'📋 Lançamentos'!$I$3:$I$10000)</f>
        <v>1783.1</v>
      </c>
      <c r="F16" s="21" cm="1">
        <f t="array" ref="F16">SUMPRODUCT(('📋 Lançamentos'!$B$3:$B$10000="Maio")*('📋 Lançamentos'!$E$3:$E$10000="Despesa")*('📋 Lançamentos'!$D$3:$D$10000="Embalagens Delivery"),'📋 Lançamentos'!$I$3:$I$10000)</f>
        <v>1946.08</v>
      </c>
      <c r="G16" s="21" cm="1">
        <f t="array" ref="G16">SUMPRODUCT(('📋 Lançamentos'!$B$3:$B$10000="Junho")*('📋 Lançamentos'!$E$3:$E$10000="Despesa")*('📋 Lançamentos'!$D$3:$D$10000="Embalagens Delivery"),'📋 Lançamentos'!$I$3:$I$10000)</f>
        <v>2017.85</v>
      </c>
      <c r="H16" s="21" cm="1">
        <f t="array" ref="H16">SUMPRODUCT(('📋 Lançamentos'!$B$3:$B$10000="Julho")*('📋 Lançamentos'!$E$3:$E$10000="Despesa")*('📋 Lançamentos'!$D$3:$D$10000="Embalagens Delivery"),'📋 Lançamentos'!$I$3:$I$10000)</f>
        <v>2074.06</v>
      </c>
      <c r="I16" s="21" cm="1">
        <f t="array" ref="I16">SUMPRODUCT(('📋 Lançamentos'!$B$3:$B$10000="Agosto")*('📋 Lançamentos'!$E$3:$E$10000="Despesa")*('📋 Lançamentos'!$D$3:$D$10000="Embalagens Delivery"),'📋 Lançamentos'!$I$3:$I$10000)</f>
        <v>1985.63</v>
      </c>
      <c r="J16" s="21" cm="1">
        <f t="array" ref="J16">SUMPRODUCT(('📋 Lançamentos'!$B$3:$B$10000="Setembro")*('📋 Lançamentos'!$E$3:$E$10000="Despesa")*('📋 Lançamentos'!$D$3:$D$10000="Embalagens Delivery"),'📋 Lançamentos'!$I$3:$I$10000)</f>
        <v>1908.46</v>
      </c>
      <c r="K16" s="21" cm="1">
        <f t="array" ref="K16">SUMPRODUCT(('📋 Lançamentos'!$B$3:$B$10000="Outubro")*('📋 Lançamentos'!$E$3:$E$10000="Despesa")*('📋 Lançamentos'!$D$3:$D$10000="Embalagens Delivery"),'📋 Lançamentos'!$I$3:$I$10000)</f>
        <v>1948.85</v>
      </c>
      <c r="L16" s="21" cm="1">
        <f t="array" ref="L16">SUMPRODUCT(('📋 Lançamentos'!$B$3:$B$10000="Novembro")*('📋 Lançamentos'!$E$3:$E$10000="Despesa")*('📋 Lançamentos'!$D$3:$D$10000="Embalagens Delivery"),'📋 Lançamentos'!$I$3:$I$10000)</f>
        <v>2089.27</v>
      </c>
      <c r="M16" s="21" cm="1">
        <f t="array" ref="M16">SUMPRODUCT(('📋 Lançamentos'!$B$3:$B$10000="Dezembro")*('📋 Lançamentos'!$E$3:$E$10000="Despesa")*('📋 Lançamentos'!$D$3:$D$10000="Embalagens Delivery"),'📋 Lançamentos'!$I$3:$I$10000)</f>
        <v>2512.29</v>
      </c>
      <c r="N16" s="13">
        <f>SUM(B16:M16)</f>
        <v>22719.629999999997</v>
      </c>
    </row>
    <row r="17" spans="1:14" x14ac:dyDescent="0.25">
      <c r="A17" s="20" t="s">
        <v>74</v>
      </c>
      <c r="B17" s="21" cm="1">
        <f t="array" ref="B17">SUMPRODUCT(('📋 Lançamentos'!$B$3:$B$10000="Janeiro")*('📋 Lançamentos'!$E$3:$E$10000="Despesa")*('📋 Lançamentos'!$D$3:$D$10000="Produtos de Limpeza"),'📋 Lançamentos'!$I$3:$I$10000)</f>
        <v>499.79</v>
      </c>
      <c r="C17" s="21" cm="1">
        <f t="array" ref="C17">SUMPRODUCT(('📋 Lançamentos'!$B$3:$B$10000="Fevereiro")*('📋 Lançamentos'!$E$3:$E$10000="Despesa")*('📋 Lançamentos'!$D$3:$D$10000="Produtos de Limpeza"),'📋 Lançamentos'!$I$3:$I$10000)</f>
        <v>503.76</v>
      </c>
      <c r="D17" s="21" cm="1">
        <f t="array" ref="D17">SUMPRODUCT(('📋 Lançamentos'!$B$3:$B$10000="Março")*('📋 Lançamentos'!$E$3:$E$10000="Despesa")*('📋 Lançamentos'!$D$3:$D$10000="Produtos de Limpeza"),'📋 Lançamentos'!$I$3:$I$10000)</f>
        <v>568.85</v>
      </c>
      <c r="E17" s="21" cm="1">
        <f t="array" ref="E17">SUMPRODUCT(('📋 Lançamentos'!$B$3:$B$10000="Abril")*('📋 Lançamentos'!$E$3:$E$10000="Despesa")*('📋 Lançamentos'!$D$3:$D$10000="Produtos de Limpeza"),'📋 Lançamentos'!$I$3:$I$10000)</f>
        <v>623.61</v>
      </c>
      <c r="F17" s="21" cm="1">
        <f t="array" ref="F17">SUMPRODUCT(('📋 Lançamentos'!$B$3:$B$10000="Maio")*('📋 Lançamentos'!$E$3:$E$10000="Despesa")*('📋 Lançamentos'!$D$3:$D$10000="Produtos de Limpeza"),'📋 Lançamentos'!$I$3:$I$10000)</f>
        <v>637.02</v>
      </c>
      <c r="G17" s="21" cm="1">
        <f t="array" ref="G17">SUMPRODUCT(('📋 Lançamentos'!$B$3:$B$10000="Junho")*('📋 Lançamentos'!$E$3:$E$10000="Despesa")*('📋 Lançamentos'!$D$3:$D$10000="Produtos de Limpeza"),'📋 Lançamentos'!$I$3:$I$10000)</f>
        <v>682.67</v>
      </c>
      <c r="H17" s="21" cm="1">
        <f t="array" ref="H17">SUMPRODUCT(('📋 Lançamentos'!$B$3:$B$10000="Julho")*('📋 Lançamentos'!$E$3:$E$10000="Despesa")*('📋 Lançamentos'!$D$3:$D$10000="Produtos de Limpeza"),'📋 Lançamentos'!$I$3:$I$10000)</f>
        <v>724.69</v>
      </c>
      <c r="I17" s="21" cm="1">
        <f t="array" ref="I17">SUMPRODUCT(('📋 Lançamentos'!$B$3:$B$10000="Agosto")*('📋 Lançamentos'!$E$3:$E$10000="Despesa")*('📋 Lançamentos'!$D$3:$D$10000="Produtos de Limpeza"),'📋 Lançamentos'!$I$3:$I$10000)</f>
        <v>656.89</v>
      </c>
      <c r="J17" s="21" cm="1">
        <f t="array" ref="J17">SUMPRODUCT(('📋 Lançamentos'!$B$3:$B$10000="Setembro")*('📋 Lançamentos'!$E$3:$E$10000="Despesa")*('📋 Lançamentos'!$D$3:$D$10000="Produtos de Limpeza"),'📋 Lançamentos'!$I$3:$I$10000)</f>
        <v>657.56</v>
      </c>
      <c r="K17" s="21" cm="1">
        <f t="array" ref="K17">SUMPRODUCT(('📋 Lançamentos'!$B$3:$B$10000="Outubro")*('📋 Lançamentos'!$E$3:$E$10000="Despesa")*('📋 Lançamentos'!$D$3:$D$10000="Produtos de Limpeza"),'📋 Lançamentos'!$I$3:$I$10000)</f>
        <v>714.92</v>
      </c>
      <c r="L17" s="21" cm="1">
        <f t="array" ref="L17">SUMPRODUCT(('📋 Lançamentos'!$B$3:$B$10000="Novembro")*('📋 Lançamentos'!$E$3:$E$10000="Despesa")*('📋 Lançamentos'!$D$3:$D$10000="Produtos de Limpeza"),'📋 Lançamentos'!$I$3:$I$10000)</f>
        <v>755.48</v>
      </c>
      <c r="M17" s="21" cm="1">
        <f t="array" ref="M17">SUMPRODUCT(('📋 Lançamentos'!$B$3:$B$10000="Dezembro")*('📋 Lançamentos'!$E$3:$E$10000="Despesa")*('📋 Lançamentos'!$D$3:$D$10000="Produtos de Limpeza"),'📋 Lançamentos'!$I$3:$I$10000)</f>
        <v>867.6</v>
      </c>
      <c r="N17" s="13">
        <f t="shared" ref="N17:N18" si="4">SUM(B17:M17)</f>
        <v>7892.84</v>
      </c>
    </row>
    <row r="18" spans="1:14" x14ac:dyDescent="0.25">
      <c r="A18" s="20" t="s">
        <v>76</v>
      </c>
      <c r="B18" s="21" cm="1">
        <f t="array" ref="B18">SUMPRODUCT(('📋 Lançamentos'!$B$3:$B$10000="Janeiro")*('📋 Lançamentos'!$E$3:$E$10000="Despesa")*('📋 Lançamentos'!$D$3:$D$10000="Uniformes"),'📋 Lançamentos'!$I$3:$I$10000)</f>
        <v>314.8</v>
      </c>
      <c r="C18" s="21" cm="1">
        <f t="array" ref="C18">SUMPRODUCT(('📋 Lançamentos'!$B$3:$B$10000="Fevereiro")*('📋 Lançamentos'!$E$3:$E$10000="Despesa")*('📋 Lançamentos'!$D$3:$D$10000="Uniformes"),'📋 Lançamentos'!$I$3:$I$10000)</f>
        <v>312.45999999999998</v>
      </c>
      <c r="D18" s="21" cm="1">
        <f t="array" ref="D18">SUMPRODUCT(('📋 Lançamentos'!$B$3:$B$10000="Março")*('📋 Lançamentos'!$E$3:$E$10000="Despesa")*('📋 Lançamentos'!$D$3:$D$10000="Uniformes"),'📋 Lançamentos'!$I$3:$I$10000)</f>
        <v>334.65</v>
      </c>
      <c r="E18" s="21" cm="1">
        <f t="array" ref="E18">SUMPRODUCT(('📋 Lançamentos'!$B$3:$B$10000="Abril")*('📋 Lançamentos'!$E$3:$E$10000="Despesa")*('📋 Lançamentos'!$D$3:$D$10000="Uniformes"),'📋 Lançamentos'!$I$3:$I$10000)</f>
        <v>391.83</v>
      </c>
      <c r="F18" s="21" cm="1">
        <f t="array" ref="F18">SUMPRODUCT(('📋 Lançamentos'!$B$3:$B$10000="Maio")*('📋 Lançamentos'!$E$3:$E$10000="Despesa")*('📋 Lançamentos'!$D$3:$D$10000="Uniformes"),'📋 Lançamentos'!$I$3:$I$10000)</f>
        <v>407.32</v>
      </c>
      <c r="G18" s="21" cm="1">
        <f t="array" ref="G18">SUMPRODUCT(('📋 Lançamentos'!$B$3:$B$10000="Junho")*('📋 Lançamentos'!$E$3:$E$10000="Despesa")*('📋 Lançamentos'!$D$3:$D$10000="Uniformes"),'📋 Lançamentos'!$I$3:$I$10000)</f>
        <v>407.1</v>
      </c>
      <c r="H18" s="21" cm="1">
        <f t="array" ref="H18">SUMPRODUCT(('📋 Lançamentos'!$B$3:$B$10000="Julho")*('📋 Lançamentos'!$E$3:$E$10000="Despesa")*('📋 Lançamentos'!$D$3:$D$10000="Uniformes"),'📋 Lançamentos'!$I$3:$I$10000)</f>
        <v>437.85</v>
      </c>
      <c r="I18" s="21" cm="1">
        <f t="array" ref="I18">SUMPRODUCT(('📋 Lançamentos'!$B$3:$B$10000="Agosto")*('📋 Lançamentos'!$E$3:$E$10000="Despesa")*('📋 Lançamentos'!$D$3:$D$10000="Uniformes"),'📋 Lançamentos'!$I$3:$I$10000)</f>
        <v>405.31</v>
      </c>
      <c r="J18" s="21" cm="1">
        <f t="array" ref="J18">SUMPRODUCT(('📋 Lançamentos'!$B$3:$B$10000="Setembro")*('📋 Lançamentos'!$E$3:$E$10000="Despesa")*('📋 Lançamentos'!$D$3:$D$10000="Uniformes"),'📋 Lançamentos'!$I$3:$I$10000)</f>
        <v>377.78</v>
      </c>
      <c r="K18" s="21" cm="1">
        <f t="array" ref="K18">SUMPRODUCT(('📋 Lançamentos'!$B$3:$B$10000="Outubro")*('📋 Lançamentos'!$E$3:$E$10000="Despesa")*('📋 Lançamentos'!$D$3:$D$10000="Uniformes"),'📋 Lançamentos'!$I$3:$I$10000)</f>
        <v>435.02</v>
      </c>
      <c r="L18" s="21" cm="1">
        <f t="array" ref="L18">SUMPRODUCT(('📋 Lançamentos'!$B$3:$B$10000="Novembro")*('📋 Lançamentos'!$E$3:$E$10000="Despesa")*('📋 Lançamentos'!$D$3:$D$10000="Uniformes"),'📋 Lançamentos'!$I$3:$I$10000)</f>
        <v>437.59</v>
      </c>
      <c r="M18" s="21" cm="1">
        <f t="array" ref="M18">SUMPRODUCT(('📋 Lançamentos'!$B$3:$B$10000="Dezembro")*('📋 Lançamentos'!$E$3:$E$10000="Despesa")*('📋 Lançamentos'!$D$3:$D$10000="Uniformes"),'📋 Lançamentos'!$I$3:$I$10000)</f>
        <v>530.52</v>
      </c>
      <c r="N18" s="13">
        <f t="shared" si="4"/>
        <v>4792.2299999999996</v>
      </c>
    </row>
    <row r="19" spans="1:14" x14ac:dyDescent="0.25">
      <c r="A19" s="20" t="s">
        <v>78</v>
      </c>
      <c r="B19" s="21" cm="1">
        <f t="array" ref="B19">SUMPRODUCT(('📋 Lançamentos'!$B$3:$B$10000="Janeiro")*('📋 Lançamentos'!$E$3:$E$10000="Despesa")*('📋 Lançamentos'!$D$3:$D$10000="Manutenção Equip."),'📋 Lançamentos'!$I$3:$I$10000)</f>
        <v>740.3</v>
      </c>
      <c r="C19" s="21" cm="1">
        <f t="array" ref="C19">SUMPRODUCT(('📋 Lançamentos'!$B$3:$B$10000="Fevereiro")*('📋 Lançamentos'!$E$3:$E$10000="Despesa")*('📋 Lançamentos'!$D$3:$D$10000="Manutenção Equip."),'📋 Lançamentos'!$I$3:$I$10000)</f>
        <v>802.65</v>
      </c>
      <c r="D19" s="21" cm="1">
        <f t="array" ref="D19">SUMPRODUCT(('📋 Lançamentos'!$B$3:$B$10000="Março")*('📋 Lançamentos'!$E$3:$E$10000="Despesa")*('📋 Lançamentos'!$D$3:$D$10000="Manutenção Equip."),'📋 Lançamentos'!$I$3:$I$10000)</f>
        <v>865.71</v>
      </c>
      <c r="E19" s="21" cm="1">
        <f t="array" ref="E19">SUMPRODUCT(('📋 Lançamentos'!$B$3:$B$10000="Abril")*('📋 Lançamentos'!$E$3:$E$10000="Despesa")*('📋 Lançamentos'!$D$3:$D$10000="Manutenção Equip."),'📋 Lançamentos'!$I$3:$I$10000)</f>
        <v>962.54</v>
      </c>
      <c r="F19" s="21" cm="1">
        <f t="array" ref="F19">SUMPRODUCT(('📋 Lançamentos'!$B$3:$B$10000="Maio")*('📋 Lançamentos'!$E$3:$E$10000="Despesa")*('📋 Lançamentos'!$D$3:$D$10000="Manutenção Equip."),'📋 Lançamentos'!$I$3:$I$10000)</f>
        <v>970.46</v>
      </c>
      <c r="G19" s="21" cm="1">
        <f t="array" ref="G19">SUMPRODUCT(('📋 Lançamentos'!$B$3:$B$10000="Junho")*('📋 Lançamentos'!$E$3:$E$10000="Despesa")*('📋 Lançamentos'!$D$3:$D$10000="Manutenção Equip."),'📋 Lançamentos'!$I$3:$I$10000)</f>
        <v>1086.0999999999999</v>
      </c>
      <c r="H19" s="21" cm="1">
        <f t="array" ref="H19">SUMPRODUCT(('📋 Lançamentos'!$B$3:$B$10000="Julho")*('📋 Lançamentos'!$E$3:$E$10000="Despesa")*('📋 Lançamentos'!$D$3:$D$10000="Manutenção Equip."),'📋 Lançamentos'!$I$3:$I$10000)</f>
        <v>1069.92</v>
      </c>
      <c r="I19" s="21" cm="1">
        <f t="array" ref="I19">SUMPRODUCT(('📋 Lançamentos'!$B$3:$B$10000="Agosto")*('📋 Lançamentos'!$E$3:$E$10000="Despesa")*('📋 Lançamentos'!$D$3:$D$10000="Manutenção Equip."),'📋 Lançamentos'!$I$3:$I$10000)</f>
        <v>1007.39</v>
      </c>
      <c r="J19" s="21" cm="1">
        <f t="array" ref="J19">SUMPRODUCT(('📋 Lançamentos'!$B$3:$B$10000="Setembro")*('📋 Lançamentos'!$E$3:$E$10000="Despesa")*('📋 Lançamentos'!$D$3:$D$10000="Manutenção Equip."),'📋 Lançamentos'!$I$3:$I$10000)</f>
        <v>993.73</v>
      </c>
      <c r="K19" s="21" cm="1">
        <f t="array" ref="K19">SUMPRODUCT(('📋 Lançamentos'!$B$3:$B$10000="Outubro")*('📋 Lançamentos'!$E$3:$E$10000="Despesa")*('📋 Lançamentos'!$D$3:$D$10000="Manutenção Equip."),'📋 Lançamentos'!$I$3:$I$10000)</f>
        <v>1037.75</v>
      </c>
      <c r="L19" s="21" cm="1">
        <f t="array" ref="L19">SUMPRODUCT(('📋 Lançamentos'!$B$3:$B$10000="Novembro")*('📋 Lançamentos'!$E$3:$E$10000="Despesa")*('📋 Lançamentos'!$D$3:$D$10000="Manutenção Equip."),'📋 Lançamentos'!$I$3:$I$10000)</f>
        <v>1079.77</v>
      </c>
      <c r="M19" s="21" cm="1">
        <f t="array" ref="M19">SUMPRODUCT(('📋 Lançamentos'!$B$3:$B$10000="Dezembro")*('📋 Lançamentos'!$E$3:$E$10000="Despesa")*('📋 Lançamentos'!$D$3:$D$10000="Manutenção Equip."),'📋 Lançamentos'!$I$3:$I$10000)</f>
        <v>1310.79</v>
      </c>
      <c r="N19" s="13">
        <f>SUM(B19:M19)</f>
        <v>11927.11</v>
      </c>
    </row>
    <row r="20" spans="1:14" x14ac:dyDescent="0.25">
      <c r="A20" s="44" t="s">
        <v>51</v>
      </c>
      <c r="B20" s="21" cm="1">
        <f t="array" ref="B20">SUMPRODUCT(('📋 Lançamentos'!$B$3:$B$10000="Janeiro")*('📋 Lançamentos'!$E$3:$E$10000="Despesa")*('📋 Lançamentos'!$C$3:$C$10000="Pessoal"),'📋 Lançamentos'!$I$3:$I$10000)</f>
        <v>26743.930000000004</v>
      </c>
      <c r="C20" s="21" cm="1">
        <f t="array" ref="C20">SUMPRODUCT(('📋 Lançamentos'!$B$3:$B$10000="Fevereiro")*('📋 Lançamentos'!$E$3:$E$10000="Despesa")*('📋 Lançamentos'!$C$3:$C$10000="Pessoal"),'📋 Lançamentos'!$I$3:$I$10000)</f>
        <v>28000.430000000004</v>
      </c>
      <c r="D20" s="21" cm="1">
        <f t="array" ref="D20">SUMPRODUCT(('📋 Lançamentos'!$B$3:$B$10000="Março")*('📋 Lançamentos'!$E$3:$E$10000="Despesa")*('📋 Lançamentos'!$C$3:$C$10000="Pessoal"),'📋 Lançamentos'!$I$3:$I$10000)</f>
        <v>30356.93</v>
      </c>
      <c r="E20" s="21" cm="1">
        <f t="array" ref="E20">SUMPRODUCT(('📋 Lançamentos'!$B$3:$B$10000="Abril")*('📋 Lançamentos'!$E$3:$E$10000="Despesa")*('📋 Lançamentos'!$C$3:$C$10000="Pessoal"),'📋 Lançamentos'!$I$3:$I$10000)</f>
        <v>33870.29</v>
      </c>
      <c r="F20" s="21" cm="1">
        <f t="array" ref="F20">SUMPRODUCT(('📋 Lançamentos'!$B$3:$B$10000="Maio")*('📋 Lançamentos'!$E$3:$E$10000="Despesa")*('📋 Lançamentos'!$C$3:$C$10000="Pessoal"),'📋 Lançamentos'!$I$3:$I$10000)</f>
        <v>35741.19</v>
      </c>
      <c r="G20" s="21" cm="1">
        <f t="array" ref="G20">SUMPRODUCT(('📋 Lançamentos'!$B$3:$B$10000="Junho")*('📋 Lançamentos'!$E$3:$E$10000="Despesa")*('📋 Lançamentos'!$C$3:$C$10000="Pessoal"),'📋 Lançamentos'!$I$3:$I$10000)</f>
        <v>37322.369999999995</v>
      </c>
      <c r="H20" s="21" cm="1">
        <f t="array" ref="H20">SUMPRODUCT(('📋 Lançamentos'!$B$3:$B$10000="Julho")*('📋 Lançamentos'!$E$3:$E$10000="Despesa")*('📋 Lançamentos'!$C$3:$C$10000="Pessoal"),'📋 Lançamentos'!$I$3:$I$10000)</f>
        <v>39494.92</v>
      </c>
      <c r="I20" s="21" cm="1">
        <f t="array" ref="I20">SUMPRODUCT(('📋 Lançamentos'!$B$3:$B$10000="Agosto")*('📋 Lançamentos'!$E$3:$E$10000="Despesa")*('📋 Lançamentos'!$C$3:$C$10000="Pessoal"),'📋 Lançamentos'!$I$3:$I$10000)</f>
        <v>36411.5</v>
      </c>
      <c r="J20" s="21" cm="1">
        <f t="array" ref="J20">SUMPRODUCT(('📋 Lançamentos'!$B$3:$B$10000="Setembro")*('📋 Lançamentos'!$E$3:$E$10000="Despesa")*('📋 Lançamentos'!$C$3:$C$10000="Pessoal"),'📋 Lançamentos'!$I$3:$I$10000)</f>
        <v>34161</v>
      </c>
      <c r="K20" s="21" cm="1">
        <f t="array" ref="K20">SUMPRODUCT(('📋 Lançamentos'!$B$3:$B$10000="Outubro")*('📋 Lançamentos'!$E$3:$E$10000="Despesa")*('📋 Lançamentos'!$C$3:$C$10000="Pessoal"),'📋 Lançamentos'!$I$3:$I$10000)</f>
        <v>38593.919999999998</v>
      </c>
      <c r="L20" s="21" cm="1">
        <f t="array" ref="L20">SUMPRODUCT(('📋 Lançamentos'!$B$3:$B$10000="Novembro")*('📋 Lançamentos'!$E$3:$E$10000="Despesa")*('📋 Lançamentos'!$C$3:$C$10000="Pessoal"),'📋 Lançamentos'!$I$3:$I$10000)</f>
        <v>39492.51</v>
      </c>
      <c r="M20" s="21" cm="1">
        <f t="array" ref="M20">SUMPRODUCT(('📋 Lançamentos'!$B$3:$B$10000="Dezembro")*('📋 Lançamentos'!$E$3:$E$10000="Despesa")*('📋 Lançamentos'!$C$3:$C$10000="Pessoal"),'📋 Lançamentos'!$I$3:$I$10000)</f>
        <v>44715.44</v>
      </c>
      <c r="N20" s="13">
        <f>SUM(B20:M20)</f>
        <v>424904.43</v>
      </c>
    </row>
    <row r="21" spans="1:14" ht="25.5" x14ac:dyDescent="0.25">
      <c r="A21" s="16" t="s">
        <v>191</v>
      </c>
      <c r="B21" s="17">
        <f>SUM(B16:B20)</f>
        <v>29699.750000000004</v>
      </c>
      <c r="C21" s="17">
        <f>SUM(C16:C20)</f>
        <v>31083.390000000003</v>
      </c>
      <c r="D21" s="17">
        <f t="shared" ref="D21:M21" si="5">SUM(D16:D20)</f>
        <v>33715.160000000003</v>
      </c>
      <c r="E21" s="17">
        <f t="shared" si="5"/>
        <v>37631.370000000003</v>
      </c>
      <c r="F21" s="17">
        <f t="shared" si="5"/>
        <v>39702.07</v>
      </c>
      <c r="G21" s="17">
        <f t="shared" si="5"/>
        <v>41516.089999999997</v>
      </c>
      <c r="H21" s="17">
        <f t="shared" si="5"/>
        <v>43801.440000000002</v>
      </c>
      <c r="I21" s="17">
        <f t="shared" si="5"/>
        <v>40466.720000000001</v>
      </c>
      <c r="J21" s="17">
        <f t="shared" si="5"/>
        <v>38098.53</v>
      </c>
      <c r="K21" s="17">
        <f t="shared" si="5"/>
        <v>42730.46</v>
      </c>
      <c r="L21" s="17">
        <f t="shared" si="5"/>
        <v>43854.62</v>
      </c>
      <c r="M21" s="17">
        <f t="shared" si="5"/>
        <v>49936.639999999999</v>
      </c>
      <c r="N21" s="17">
        <f>SUM(B21:M21)</f>
        <v>472236.24000000005</v>
      </c>
    </row>
    <row r="22" spans="1:14" x14ac:dyDescent="0.25">
      <c r="A22" s="18" t="s">
        <v>192</v>
      </c>
      <c r="B22" s="19">
        <f>B13-B21</f>
        <v>44594.990000000005</v>
      </c>
      <c r="C22" s="19">
        <f t="shared" ref="C22:M22" si="6">C13-C21</f>
        <v>44604.7</v>
      </c>
      <c r="D22" s="19">
        <f t="shared" si="6"/>
        <v>54083.069999999992</v>
      </c>
      <c r="E22" s="19">
        <f t="shared" si="6"/>
        <v>59997.499999999993</v>
      </c>
      <c r="F22" s="19">
        <f t="shared" si="6"/>
        <v>59127.77</v>
      </c>
      <c r="G22" s="19">
        <f t="shared" si="6"/>
        <v>65249.070000000007</v>
      </c>
      <c r="H22" s="19">
        <f t="shared" si="6"/>
        <v>63497.19</v>
      </c>
      <c r="I22" s="19">
        <f t="shared" si="6"/>
        <v>58870.020000000004</v>
      </c>
      <c r="J22" s="19">
        <f t="shared" si="6"/>
        <v>58172.3</v>
      </c>
      <c r="K22" s="19">
        <f t="shared" si="6"/>
        <v>60774.38</v>
      </c>
      <c r="L22" s="19">
        <f t="shared" si="6"/>
        <v>65247.68</v>
      </c>
      <c r="M22" s="19">
        <f t="shared" si="6"/>
        <v>79294.490000000005</v>
      </c>
      <c r="N22" s="19">
        <f>SUM(B22:M22)</f>
        <v>713513.16</v>
      </c>
    </row>
    <row r="24" spans="1:14" x14ac:dyDescent="0.25">
      <c r="A24" s="57" t="s">
        <v>215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</row>
    <row r="25" spans="1:14" ht="25.5" x14ac:dyDescent="0.25">
      <c r="A25" s="45" t="s">
        <v>213</v>
      </c>
      <c r="B25" s="23" cm="1">
        <f t="array" ref="B25">SUMPRODUCT(('📋 Lançamentos'!$B$3:$B$386="Janeiro")*('📋 Lançamentos'!$E$3:$E$386="Despesa")*('📋 Lançamentos'!$C$3:$C$386="Infraestrutura"),'📋 Lançamentos'!$I$3:$I$386)</f>
        <v>10975.480000000001</v>
      </c>
      <c r="C25" s="23" cm="1">
        <f t="array" ref="C25">SUMPRODUCT(('📋 Lançamentos'!$B$3:$B$386="Fevereiro")*('📋 Lançamentos'!$E$3:$E$386="Despesa")*('📋 Lançamentos'!$C$3:$C$386="Infraestrutura"),'📋 Lançamentos'!$I$3:$I$386)</f>
        <v>11531.03</v>
      </c>
      <c r="D25" s="23" cm="1">
        <f t="array" ref="D25">SUMPRODUCT(('📋 Lançamentos'!$B$3:$B$386="Março")*('📋 Lançamentos'!$E$3:$E$386="Despesa")*('📋 Lançamentos'!$C$3:$C$386="Infraestrutura"),'📋 Lançamentos'!$I$3:$I$386)</f>
        <v>12658.480000000001</v>
      </c>
      <c r="E25" s="23" cm="1">
        <f t="array" ref="E25">SUMPRODUCT(('📋 Lançamentos'!$B$3:$B$386="Abril")*('📋 Lançamentos'!$E$3:$E$386="Despesa")*('📋 Lançamentos'!$C$3:$C$386="Infraestrutura"),'📋 Lançamentos'!$I$3:$I$386)</f>
        <v>14007.750000000002</v>
      </c>
      <c r="F25" s="23" cm="1">
        <f t="array" ref="F25">SUMPRODUCT(('📋 Lançamentos'!$B$3:$B$386="Maio")*('📋 Lançamentos'!$E$3:$E$386="Despesa")*('📋 Lançamentos'!$C$3:$C$386="Infraestrutura"),'📋 Lançamentos'!$I$3:$I$386)</f>
        <v>14419.000000000002</v>
      </c>
      <c r="G25" s="23" cm="1">
        <f t="array" ref="G25">SUMPRODUCT(('📋 Lançamentos'!$B$3:$B$386="Junho")*('📋 Lançamentos'!$E$3:$E$386="Despesa")*('📋 Lançamentos'!$C$3:$C$386="Infraestrutura"),'📋 Lançamentos'!$I$3:$I$386)</f>
        <v>15111.11</v>
      </c>
      <c r="H25" s="23" cm="1">
        <f t="array" ref="H25">SUMPRODUCT(('📋 Lançamentos'!$B$3:$B$386="Julho")*('📋 Lançamentos'!$E$3:$E$386="Despesa")*('📋 Lançamentos'!$C$3:$C$386="Infraestrutura"),'📋 Lançamentos'!$I$3:$I$386)</f>
        <v>16181.95</v>
      </c>
      <c r="I25" s="23" cm="1">
        <f t="array" ref="I25">SUMPRODUCT(('📋 Lançamentos'!$B$3:$B$386="Agosto")*('📋 Lançamentos'!$E$3:$E$386="Despesa")*('📋 Lançamentos'!$C$3:$C$386="Infraestrutura"),'📋 Lançamentos'!$I$3:$I$386)</f>
        <v>14957.289999999999</v>
      </c>
      <c r="J25" s="23" cm="1">
        <f t="array" ref="J25">SUMPRODUCT(('📋 Lançamentos'!$B$3:$B$386="Setembro")*('📋 Lançamentos'!$E$3:$E$386="Despesa")*('📋 Lançamentos'!$C$3:$C$386="Infraestrutura"),'📋 Lançamentos'!$I$3:$I$386)</f>
        <v>13954.679999999998</v>
      </c>
      <c r="K25" s="23" cm="1">
        <f t="array" ref="K25">SUMPRODUCT(('📋 Lançamentos'!$B$3:$B$386="Outubro")*('📋 Lançamentos'!$E$3:$E$386="Despesa")*('📋 Lançamentos'!$C$3:$C$386="Infraestrutura"),'📋 Lançamentos'!$I$3:$I$386)</f>
        <v>15652.24</v>
      </c>
      <c r="L25" s="23" cm="1">
        <f t="array" ref="L25">SUMPRODUCT(('📋 Lançamentos'!$B$3:$B$386="Novembro")*('📋 Lançamentos'!$E$3:$E$386="Despesa")*('📋 Lançamentos'!$C$3:$C$386="Infraestrutura"),'📋 Lançamentos'!$I$3:$I$386)</f>
        <v>16228.22</v>
      </c>
      <c r="M25" s="23" cm="1">
        <f t="array" ref="M25">SUMPRODUCT(('📋 Lançamentos'!$B$3:$B$386="Dezembro")*('📋 Lançamentos'!$E$3:$E$386="Despesa")*('📋 Lançamentos'!$C$3:$C$386="Infraestrutura"),'📋 Lançamentos'!$I$3:$I$386)</f>
        <v>18350.53</v>
      </c>
      <c r="N25" s="46">
        <f>SUM(B25:M25)</f>
        <v>174027.75999999998</v>
      </c>
    </row>
    <row r="26" spans="1:14" ht="25.5" x14ac:dyDescent="0.25">
      <c r="A26" s="45" t="s">
        <v>214</v>
      </c>
      <c r="B26" s="23" cm="1">
        <f t="array" ref="B26">SUMPRODUCT(('📋 Lançamentos'!$B$3:$B$386="Janeiro")*('📋 Lançamentos'!$E$3:$E$386="Despesa")*('📋 Lançamentos'!$C$3:$C$386="Marketing"),'📋 Lançamentos'!$I$3:$I$386)</f>
        <v>1572.8</v>
      </c>
      <c r="C26" s="23" cm="1">
        <f t="array" ref="C26">SUMPRODUCT(('📋 Lançamentos'!$B$3:$B$386="Fevereiro")*('📋 Lançamentos'!$E$3:$E$386="Despesa")*('📋 Lançamentos'!$C$3:$C$386="Marketing"),'📋 Lançamentos'!$I$3:$I$386)</f>
        <v>1671.66</v>
      </c>
      <c r="D26" s="23" cm="1">
        <f t="array" ref="D26">SUMPRODUCT(('📋 Lançamentos'!$B$3:$B$386="Março")*('📋 Lançamentos'!$E$3:$E$386="Despesa")*('📋 Lançamentos'!$C$3:$C$386="Marketing"),'📋 Lançamentos'!$I$3:$I$386)</f>
        <v>1749.37</v>
      </c>
      <c r="E26" s="23" cm="1">
        <f t="array" ref="E26">SUMPRODUCT(('📋 Lançamentos'!$B$3:$B$386="Abril")*('📋 Lançamentos'!$E$3:$E$386="Despesa")*('📋 Lançamentos'!$C$3:$C$386="Marketing"),'📋 Lançamentos'!$I$3:$I$386)</f>
        <v>2004.52</v>
      </c>
      <c r="F26" s="23" cm="1">
        <f t="array" ref="F26">SUMPRODUCT(('📋 Lançamentos'!$B$3:$B$386="Maio")*('📋 Lançamentos'!$E$3:$E$386="Despesa")*('📋 Lançamentos'!$C$3:$C$386="Marketing"),'📋 Lançamentos'!$I$3:$I$386)</f>
        <v>2135.33</v>
      </c>
      <c r="G26" s="23" cm="1">
        <f t="array" ref="G26">SUMPRODUCT(('📋 Lançamentos'!$B$3:$B$386="Junho")*('📋 Lançamentos'!$E$3:$E$386="Despesa")*('📋 Lançamentos'!$C$3:$C$386="Marketing"),'📋 Lançamentos'!$I$3:$I$386)</f>
        <v>2149.06</v>
      </c>
      <c r="H26" s="23" cm="1">
        <f t="array" ref="H26">SUMPRODUCT(('📋 Lançamentos'!$B$3:$B$386="Julho")*('📋 Lançamentos'!$E$3:$E$386="Despesa")*('📋 Lançamentos'!$C$3:$C$386="Marketing"),'📋 Lançamentos'!$I$3:$I$386)</f>
        <v>2329.17</v>
      </c>
      <c r="I26" s="23" cm="1">
        <f t="array" ref="I26">SUMPRODUCT(('📋 Lançamentos'!$B$3:$B$386="Agosto")*('📋 Lançamentos'!$E$3:$E$386="Despesa")*('📋 Lançamentos'!$C$3:$C$386="Marketing"),'📋 Lançamentos'!$I$3:$I$386)</f>
        <v>2095.4699999999998</v>
      </c>
      <c r="J26" s="23" cm="1">
        <f t="array" ref="J26">SUMPRODUCT(('📋 Lançamentos'!$B$3:$B$386="Setembro")*('📋 Lançamentos'!$E$3:$E$386="Despesa")*('📋 Lançamentos'!$C$3:$C$386="Marketing"),'📋 Lançamentos'!$I$3:$I$386)</f>
        <v>2032.56</v>
      </c>
      <c r="K26" s="23" cm="1">
        <f t="array" ref="K26">SUMPRODUCT(('📋 Lançamentos'!$B$3:$B$386="Outubro")*('📋 Lançamentos'!$E$3:$E$386="Despesa")*('📋 Lançamentos'!$C$3:$C$386="Marketing"),'📋 Lançamentos'!$I$3:$I$386)</f>
        <v>2251.3000000000002</v>
      </c>
      <c r="L26" s="23" cm="1">
        <f t="array" ref="L26">SUMPRODUCT(('📋 Lançamentos'!$B$3:$B$386="Novembro")*('📋 Lançamentos'!$E$3:$E$386="Despesa")*('📋 Lançamentos'!$C$3:$C$386="Marketing"),'📋 Lançamentos'!$I$3:$I$386)</f>
        <v>2308.46</v>
      </c>
      <c r="M26" s="23" cm="1">
        <f t="array" ref="M26">SUMPRODUCT(('📋 Lançamentos'!$B$3:$B$386="Dezembro")*('📋 Lançamentos'!$E$3:$E$386="Despesa")*('📋 Lançamentos'!$C$3:$C$386="Marketing"),'📋 Lançamentos'!$I$3:$I$386)</f>
        <v>2719.9399999999996</v>
      </c>
      <c r="N26" s="46">
        <f t="shared" ref="N26:N27" si="7">SUM(B26:M26)</f>
        <v>25019.639999999996</v>
      </c>
    </row>
    <row r="27" spans="1:14" x14ac:dyDescent="0.25">
      <c r="A27" s="22" t="s">
        <v>41</v>
      </c>
      <c r="B27" s="23" cm="1">
        <f t="array" ref="B27">SUMPRODUCT(('📋 Lançamentos'!$B$3:$B$386="Janeiro")*('📋 Lançamentos'!$E$3:$E$386="Despesa")*('📋 Lançamentos'!$C$3:$C$386="CMV"),'📋 Lançamentos'!$I$3:$I$386)</f>
        <v>30083.109999999997</v>
      </c>
      <c r="C27" s="23" cm="1">
        <f t="array" ref="C27">SUMPRODUCT(('📋 Lançamentos'!$B$3:$B$386="Fevereiro")*('📋 Lançamentos'!$E$3:$E$386="Despesa")*('📋 Lançamentos'!$C$3:$C$386="CMV"),'📋 Lançamentos'!$I$3:$I$386)</f>
        <v>30807.02</v>
      </c>
      <c r="D27" s="23" cm="1">
        <f t="array" ref="D27">SUMPRODUCT(('📋 Lançamentos'!$B$3:$B$386="Março")*('📋 Lançamentos'!$E$3:$E$386="Despesa")*('📋 Lançamentos'!$C$3:$C$386="CMV"),'📋 Lançamentos'!$I$3:$I$386)</f>
        <v>33874.58</v>
      </c>
      <c r="E27" s="23" cm="1">
        <f t="array" ref="E27">SUMPRODUCT(('📋 Lançamentos'!$B$3:$B$386="Abril")*('📋 Lançamentos'!$E$3:$E$386="Despesa")*('📋 Lançamentos'!$C$3:$C$386="CMV"),'📋 Lançamentos'!$I$3:$I$386)</f>
        <v>39105.42</v>
      </c>
      <c r="F27" s="23" cm="1">
        <f t="array" ref="F27">SUMPRODUCT(('📋 Lançamentos'!$B$3:$B$386="Maio")*('📋 Lançamentos'!$E$3:$E$386="Despesa")*('📋 Lançamentos'!$C$3:$C$386="CMV"),'📋 Lançamentos'!$I$3:$I$386)</f>
        <v>39114.509999999995</v>
      </c>
      <c r="G27" s="23" cm="1">
        <f t="array" ref="G27">SUMPRODUCT(('📋 Lançamentos'!$B$3:$B$386="Junho")*('📋 Lançamentos'!$E$3:$E$386="Despesa")*('📋 Lançamentos'!$C$3:$C$386="CMV"),'📋 Lançamentos'!$I$3:$I$386)</f>
        <v>40843.69</v>
      </c>
      <c r="H27" s="23" cm="1">
        <f t="array" ref="H27">SUMPRODUCT(('📋 Lançamentos'!$B$3:$B$386="Julho")*('📋 Lançamentos'!$E$3:$E$386="Despesa")*('📋 Lançamentos'!$C$3:$C$386="CMV"),'📋 Lançamentos'!$I$3:$I$386)</f>
        <v>43067.4</v>
      </c>
      <c r="I27" s="23" cm="1">
        <f t="array" ref="I27">SUMPRODUCT(('📋 Lançamentos'!$B$3:$B$386="Agosto")*('📋 Lançamentos'!$E$3:$E$386="Despesa")*('📋 Lançamentos'!$C$3:$C$386="CMV"),'📋 Lançamentos'!$I$3:$I$386)</f>
        <v>40981.53</v>
      </c>
      <c r="J27" s="23" cm="1">
        <f t="array" ref="J27">SUMPRODUCT(('📋 Lançamentos'!$B$3:$B$386="Setembro")*('📋 Lançamentos'!$E$3:$E$386="Despesa")*('📋 Lançamentos'!$C$3:$C$386="CMV"),'📋 Lançamentos'!$I$3:$I$386)</f>
        <v>39500.99</v>
      </c>
      <c r="K27" s="23" cm="1">
        <f t="array" ref="K27">SUMPRODUCT(('📋 Lançamentos'!$B$3:$B$386="Outubro")*('📋 Lançamentos'!$E$3:$E$386="Despesa")*('📋 Lançamentos'!$C$3:$C$386="CMV"),'📋 Lançamentos'!$I$3:$I$386)</f>
        <v>41974.049999999996</v>
      </c>
      <c r="L27" s="23" cm="1">
        <f t="array" ref="L27">SUMPRODUCT(('📋 Lançamentos'!$B$3:$B$386="Novembro")*('📋 Lançamentos'!$E$3:$E$386="Despesa")*('📋 Lançamentos'!$C$3:$C$386="CMV"),'📋 Lançamentos'!$I$3:$I$386)</f>
        <v>45436.279999999992</v>
      </c>
      <c r="M27" s="23" cm="1">
        <f t="array" ref="M27">SUMPRODUCT(('📋 Lançamentos'!$B$3:$B$386="Dezembro")*('📋 Lançamentos'!$E$3:$E$386="Despesa")*('📋 Lançamentos'!$C$3:$C$386="CMV"),'📋 Lançamentos'!$I$3:$I$386)</f>
        <v>51432.72</v>
      </c>
      <c r="N27" s="46">
        <f t="shared" si="7"/>
        <v>476221.29999999993</v>
      </c>
    </row>
    <row r="28" spans="1:14" ht="25.5" x14ac:dyDescent="0.25">
      <c r="A28" s="24" t="s">
        <v>193</v>
      </c>
      <c r="B28" s="25">
        <f>SUM(B25:B27)</f>
        <v>42631.39</v>
      </c>
      <c r="C28" s="25">
        <f>SUM(C25:C27)</f>
        <v>44009.71</v>
      </c>
      <c r="D28" s="25">
        <f t="shared" ref="D28:N28" si="8">SUM(D25:D27)</f>
        <v>48282.430000000008</v>
      </c>
      <c r="E28" s="25">
        <f t="shared" si="8"/>
        <v>55117.69</v>
      </c>
      <c r="F28" s="25">
        <f t="shared" si="8"/>
        <v>55668.84</v>
      </c>
      <c r="G28" s="25">
        <f t="shared" si="8"/>
        <v>58103.86</v>
      </c>
      <c r="H28" s="25">
        <f t="shared" si="8"/>
        <v>61578.520000000004</v>
      </c>
      <c r="I28" s="25">
        <f t="shared" si="8"/>
        <v>58034.289999999994</v>
      </c>
      <c r="J28" s="25">
        <f t="shared" si="8"/>
        <v>55488.229999999996</v>
      </c>
      <c r="K28" s="25">
        <f t="shared" si="8"/>
        <v>59877.59</v>
      </c>
      <c r="L28" s="25">
        <f t="shared" si="8"/>
        <v>63972.959999999992</v>
      </c>
      <c r="M28" s="25">
        <f t="shared" si="8"/>
        <v>72503.19</v>
      </c>
      <c r="N28" s="25">
        <f t="shared" si="8"/>
        <v>675268.7</v>
      </c>
    </row>
    <row r="29" spans="1:14" ht="25.5" x14ac:dyDescent="0.25">
      <c r="A29" s="26" t="s">
        <v>194</v>
      </c>
      <c r="B29" s="27">
        <f>B22-B28</f>
        <v>1963.6000000000058</v>
      </c>
      <c r="C29" s="27">
        <f t="shared" ref="C29:M29" si="9">C22-C28</f>
        <v>594.98999999999796</v>
      </c>
      <c r="D29" s="27">
        <f t="shared" si="9"/>
        <v>5800.6399999999849</v>
      </c>
      <c r="E29" s="27">
        <f t="shared" si="9"/>
        <v>4879.8099999999904</v>
      </c>
      <c r="F29" s="27">
        <f t="shared" si="9"/>
        <v>3458.9300000000003</v>
      </c>
      <c r="G29" s="27">
        <f t="shared" si="9"/>
        <v>7145.2100000000064</v>
      </c>
      <c r="H29" s="27">
        <f t="shared" si="9"/>
        <v>1918.6699999999983</v>
      </c>
      <c r="I29" s="27">
        <f t="shared" si="9"/>
        <v>835.73000000001048</v>
      </c>
      <c r="J29" s="27">
        <f t="shared" si="9"/>
        <v>2684.070000000007</v>
      </c>
      <c r="K29" s="27">
        <f t="shared" si="9"/>
        <v>896.79000000000087</v>
      </c>
      <c r="L29" s="27">
        <f t="shared" si="9"/>
        <v>1274.7200000000084</v>
      </c>
      <c r="M29" s="27">
        <f t="shared" si="9"/>
        <v>6791.3000000000029</v>
      </c>
      <c r="N29" s="27">
        <f>SUM(B29:M29)</f>
        <v>38244.460000000014</v>
      </c>
    </row>
    <row r="30" spans="1:14" ht="25.5" x14ac:dyDescent="0.25">
      <c r="A30" s="28" t="s">
        <v>195</v>
      </c>
      <c r="B30" s="29">
        <f>IFERROR(B29/B9,0)</f>
        <v>2.367894267177973E-2</v>
      </c>
      <c r="C30" s="29">
        <f>IFERROR(B29/B9,0)</f>
        <v>2.367894267177973E-2</v>
      </c>
      <c r="D30" s="29">
        <f>IFERROR(B29/B9,0)</f>
        <v>2.367894267177973E-2</v>
      </c>
      <c r="E30" s="29">
        <f>IFERROR(B29/B9,0)</f>
        <v>2.367894267177973E-2</v>
      </c>
      <c r="F30" s="29">
        <f>IFERROR(B29/B9,0)</f>
        <v>2.367894267177973E-2</v>
      </c>
      <c r="G30" s="29">
        <f>IFERROR(B29/B9,0)</f>
        <v>2.367894267177973E-2</v>
      </c>
      <c r="H30" s="29">
        <f>IFERROR(B29/B9,0)</f>
        <v>2.367894267177973E-2</v>
      </c>
      <c r="I30" s="29">
        <f>IFERROR(B29/B9,0)</f>
        <v>2.367894267177973E-2</v>
      </c>
      <c r="J30" s="29">
        <f>IFERROR(B29/B9,0)</f>
        <v>2.367894267177973E-2</v>
      </c>
      <c r="K30" s="29">
        <f>IFERROR(B29/B9,0)</f>
        <v>2.367894267177973E-2</v>
      </c>
      <c r="L30" s="29">
        <f>IFERROR(B29/B9,0)</f>
        <v>2.367894267177973E-2</v>
      </c>
      <c r="M30" s="29">
        <f>IFERROR(B29/B9,0)</f>
        <v>2.367894267177973E-2</v>
      </c>
      <c r="N30" s="29">
        <f>IFERROR(N29/N9,0)</f>
        <v>2.8897569910136329E-2</v>
      </c>
    </row>
    <row r="31" spans="1:14" ht="15.75" thickBot="1" x14ac:dyDescent="0.3"/>
    <row r="32" spans="1:14" ht="45.75" thickBot="1" x14ac:dyDescent="0.3">
      <c r="A32" s="30" t="s">
        <v>196</v>
      </c>
      <c r="B32" s="31">
        <f t="shared" ref="B32:N32" si="10">B29</f>
        <v>1963.6000000000058</v>
      </c>
      <c r="C32" s="31">
        <f t="shared" si="10"/>
        <v>594.98999999999796</v>
      </c>
      <c r="D32" s="31">
        <f t="shared" si="10"/>
        <v>5800.6399999999849</v>
      </c>
      <c r="E32" s="31">
        <f t="shared" si="10"/>
        <v>4879.8099999999904</v>
      </c>
      <c r="F32" s="31">
        <f t="shared" si="10"/>
        <v>3458.9300000000003</v>
      </c>
      <c r="G32" s="31">
        <f t="shared" si="10"/>
        <v>7145.2100000000064</v>
      </c>
      <c r="H32" s="31">
        <f t="shared" si="10"/>
        <v>1918.6699999999983</v>
      </c>
      <c r="I32" s="31">
        <f t="shared" si="10"/>
        <v>835.73000000001048</v>
      </c>
      <c r="J32" s="31">
        <f t="shared" si="10"/>
        <v>2684.070000000007</v>
      </c>
      <c r="K32" s="31">
        <f t="shared" si="10"/>
        <v>896.79000000000087</v>
      </c>
      <c r="L32" s="31">
        <f t="shared" si="10"/>
        <v>1274.7200000000084</v>
      </c>
      <c r="M32" s="31">
        <f t="shared" si="10"/>
        <v>6791.3000000000029</v>
      </c>
      <c r="N32" s="31">
        <f t="shared" si="10"/>
        <v>38244.460000000014</v>
      </c>
    </row>
  </sheetData>
  <mergeCells count="5">
    <mergeCell ref="A1:N1"/>
    <mergeCell ref="A4:N4"/>
    <mergeCell ref="A10:N10"/>
    <mergeCell ref="A15:N15"/>
    <mergeCell ref="A24:N2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CB27-ABF8-4CAA-B23B-9AF6C008172F}">
  <sheetPr>
    <tabColor theme="9" tint="-0.249977111117893"/>
  </sheetPr>
  <dimension ref="A1:N12"/>
  <sheetViews>
    <sheetView workbookViewId="0">
      <selection activeCell="A4" sqref="A4"/>
    </sheetView>
  </sheetViews>
  <sheetFormatPr defaultColWidth="8.7109375" defaultRowHeight="15" x14ac:dyDescent="0.25"/>
  <cols>
    <col min="1" max="1" width="34" customWidth="1"/>
    <col min="2" max="14" width="13" customWidth="1"/>
  </cols>
  <sheetData>
    <row r="1" spans="1:14" ht="18.75" thickBot="1" x14ac:dyDescent="0.3">
      <c r="A1" s="53" t="s">
        <v>197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9.5" customHeight="1" x14ac:dyDescent="0.25"/>
    <row r="3" spans="1:14" ht="27.75" customHeight="1" x14ac:dyDescent="0.25">
      <c r="B3" s="1" t="s">
        <v>171</v>
      </c>
      <c r="C3" s="1" t="s">
        <v>172</v>
      </c>
      <c r="D3" s="1" t="s">
        <v>173</v>
      </c>
      <c r="E3" s="1" t="s">
        <v>174</v>
      </c>
      <c r="F3" s="1" t="s">
        <v>175</v>
      </c>
      <c r="G3" s="1" t="s">
        <v>176</v>
      </c>
      <c r="H3" s="1" t="s">
        <v>177</v>
      </c>
      <c r="I3" s="1" t="s">
        <v>178</v>
      </c>
      <c r="J3" s="1" t="s">
        <v>179</v>
      </c>
      <c r="K3" s="1" t="s">
        <v>180</v>
      </c>
      <c r="L3" s="1" t="s">
        <v>181</v>
      </c>
      <c r="M3" s="1" t="s">
        <v>182</v>
      </c>
      <c r="N3" s="11" t="s">
        <v>183</v>
      </c>
    </row>
    <row r="4" spans="1:14" x14ac:dyDescent="0.25">
      <c r="A4" s="14" t="s">
        <v>198</v>
      </c>
      <c r="B4" s="33">
        <f>'📊 DRE Mensal'!B9</f>
        <v>82926</v>
      </c>
      <c r="C4" s="33">
        <f>'📊 DRE Mensal'!C9</f>
        <v>84534</v>
      </c>
      <c r="D4" s="33">
        <f>'📊 DRE Mensal'!D9</f>
        <v>97722</v>
      </c>
      <c r="E4" s="33">
        <f>'📊 DRE Mensal'!E9</f>
        <v>108388</v>
      </c>
      <c r="F4" s="33">
        <f>'📊 DRE Mensal'!F9</f>
        <v>110071</v>
      </c>
      <c r="G4" s="33">
        <f>'📊 DRE Mensal'!G9</f>
        <v>118631</v>
      </c>
      <c r="H4" s="33">
        <f>'📊 DRE Mensal'!H9</f>
        <v>120257</v>
      </c>
      <c r="I4" s="33">
        <f>'📊 DRE Mensal'!I9</f>
        <v>111396</v>
      </c>
      <c r="J4" s="33">
        <f>'📊 DRE Mensal'!J9</f>
        <v>107448</v>
      </c>
      <c r="K4" s="33">
        <f>'📊 DRE Mensal'!K9</f>
        <v>115762</v>
      </c>
      <c r="L4" s="33">
        <f>'📊 DRE Mensal'!L9</f>
        <v>122115</v>
      </c>
      <c r="M4" s="33">
        <f>'📊 DRE Mensal'!M9</f>
        <v>144199</v>
      </c>
      <c r="N4" s="33">
        <f>SUM(B4:M4)</f>
        <v>1323449</v>
      </c>
    </row>
    <row r="5" spans="1:14" x14ac:dyDescent="0.25">
      <c r="A5" s="18" t="s">
        <v>199</v>
      </c>
      <c r="B5" s="34">
        <f>'📊 DRE Mensal'!B13</f>
        <v>74294.740000000005</v>
      </c>
      <c r="C5" s="34">
        <f>'📊 DRE Mensal'!C13</f>
        <v>75688.09</v>
      </c>
      <c r="D5" s="34">
        <f>'📊 DRE Mensal'!D13</f>
        <v>87798.23</v>
      </c>
      <c r="E5" s="34">
        <f>'📊 DRE Mensal'!E13</f>
        <v>97628.87</v>
      </c>
      <c r="F5" s="34">
        <f>'📊 DRE Mensal'!F13</f>
        <v>98829.84</v>
      </c>
      <c r="G5" s="34">
        <f>'📊 DRE Mensal'!G13</f>
        <v>106765.16</v>
      </c>
      <c r="H5" s="34">
        <f>'📊 DRE Mensal'!H13</f>
        <v>107298.63</v>
      </c>
      <c r="I5" s="34">
        <f>'📊 DRE Mensal'!I13</f>
        <v>99336.74</v>
      </c>
      <c r="J5" s="34">
        <f>'📊 DRE Mensal'!J13</f>
        <v>96270.83</v>
      </c>
      <c r="K5" s="34">
        <f>'📊 DRE Mensal'!K13</f>
        <v>103504.84</v>
      </c>
      <c r="L5" s="34">
        <f>'📊 DRE Mensal'!L13</f>
        <v>109102.3</v>
      </c>
      <c r="M5" s="34">
        <f>'📊 DRE Mensal'!M13</f>
        <v>129231.13</v>
      </c>
      <c r="N5" s="34">
        <f t="shared" ref="N5:N10" si="0">SUM(B5:M5)</f>
        <v>1185749.3999999999</v>
      </c>
    </row>
    <row r="6" spans="1:14" x14ac:dyDescent="0.25">
      <c r="A6" s="16" t="s">
        <v>200</v>
      </c>
      <c r="B6" s="35">
        <f>'📊 DRE Mensal'!B21+'📊 DRE Mensal'!B28</f>
        <v>72331.14</v>
      </c>
      <c r="C6" s="35">
        <f>'📊 DRE Mensal'!C21+'📊 DRE Mensal'!C28</f>
        <v>75093.100000000006</v>
      </c>
      <c r="D6" s="35">
        <f>'📊 DRE Mensal'!D21+'📊 DRE Mensal'!D28</f>
        <v>81997.590000000011</v>
      </c>
      <c r="E6" s="35">
        <f>'📊 DRE Mensal'!E21+'📊 DRE Mensal'!E28</f>
        <v>92749.06</v>
      </c>
      <c r="F6" s="35">
        <f>'📊 DRE Mensal'!F21+'📊 DRE Mensal'!F28</f>
        <v>95370.91</v>
      </c>
      <c r="G6" s="35">
        <f>'📊 DRE Mensal'!G21+'📊 DRE Mensal'!G28</f>
        <v>99619.95</v>
      </c>
      <c r="H6" s="35">
        <f>'📊 DRE Mensal'!H21+'📊 DRE Mensal'!H28</f>
        <v>105379.96</v>
      </c>
      <c r="I6" s="35">
        <f>'📊 DRE Mensal'!I21+'📊 DRE Mensal'!I28</f>
        <v>98501.01</v>
      </c>
      <c r="J6" s="35">
        <f>'📊 DRE Mensal'!J21+'📊 DRE Mensal'!J28</f>
        <v>93586.76</v>
      </c>
      <c r="K6" s="35">
        <f>'📊 DRE Mensal'!K21+'📊 DRE Mensal'!K28</f>
        <v>102608.04999999999</v>
      </c>
      <c r="L6" s="35">
        <f>'📊 DRE Mensal'!L21+'📊 DRE Mensal'!L28</f>
        <v>107827.57999999999</v>
      </c>
      <c r="M6" s="35">
        <f>'📊 DRE Mensal'!M21+'📊 DRE Mensal'!M28</f>
        <v>122439.83</v>
      </c>
      <c r="N6" s="35">
        <f t="shared" si="0"/>
        <v>1147504.94</v>
      </c>
    </row>
    <row r="7" spans="1:14" x14ac:dyDescent="0.25">
      <c r="A7" s="14" t="s">
        <v>201</v>
      </c>
      <c r="B7" s="33">
        <f>'📊 DRE Mensal'!B29</f>
        <v>1963.6000000000058</v>
      </c>
      <c r="C7" s="33">
        <f>'📊 DRE Mensal'!C29</f>
        <v>594.98999999999796</v>
      </c>
      <c r="D7" s="33">
        <f>'📊 DRE Mensal'!D29</f>
        <v>5800.6399999999849</v>
      </c>
      <c r="E7" s="33">
        <f>'📊 DRE Mensal'!E29</f>
        <v>4879.8099999999904</v>
      </c>
      <c r="F7" s="33">
        <f>'📊 DRE Mensal'!F29</f>
        <v>3458.9300000000003</v>
      </c>
      <c r="G7" s="33">
        <f>'📊 DRE Mensal'!G29</f>
        <v>7145.2100000000064</v>
      </c>
      <c r="H7" s="33">
        <f>'📊 DRE Mensal'!H29</f>
        <v>1918.6699999999983</v>
      </c>
      <c r="I7" s="33">
        <f>'📊 DRE Mensal'!I29</f>
        <v>835.73000000001048</v>
      </c>
      <c r="J7" s="33">
        <f>'📊 DRE Mensal'!J29</f>
        <v>2684.070000000007</v>
      </c>
      <c r="K7" s="33">
        <f>'📊 DRE Mensal'!K29</f>
        <v>896.79000000000087</v>
      </c>
      <c r="L7" s="33">
        <f>'📊 DRE Mensal'!L29</f>
        <v>1274.7200000000084</v>
      </c>
      <c r="M7" s="33">
        <f>'📊 DRE Mensal'!M29</f>
        <v>6791.3000000000029</v>
      </c>
      <c r="N7" s="33">
        <f t="shared" si="0"/>
        <v>38244.460000000014</v>
      </c>
    </row>
    <row r="8" spans="1:14" x14ac:dyDescent="0.25">
      <c r="A8" s="24" t="s">
        <v>202</v>
      </c>
      <c r="B8" s="36">
        <f>'📊 DRE Mensal'!B30</f>
        <v>2.367894267177973E-2</v>
      </c>
      <c r="C8" s="36">
        <f>'📊 DRE Mensal'!C30</f>
        <v>2.367894267177973E-2</v>
      </c>
      <c r="D8" s="36">
        <f>'📊 DRE Mensal'!D30</f>
        <v>2.367894267177973E-2</v>
      </c>
      <c r="E8" s="36">
        <f>'📊 DRE Mensal'!E30</f>
        <v>2.367894267177973E-2</v>
      </c>
      <c r="F8" s="36">
        <f>'📊 DRE Mensal'!F30</f>
        <v>2.367894267177973E-2</v>
      </c>
      <c r="G8" s="36">
        <f>'📊 DRE Mensal'!G30</f>
        <v>2.367894267177973E-2</v>
      </c>
      <c r="H8" s="36">
        <f>'📊 DRE Mensal'!H30</f>
        <v>2.367894267177973E-2</v>
      </c>
      <c r="I8" s="36">
        <f>'📊 DRE Mensal'!I30</f>
        <v>2.367894267177973E-2</v>
      </c>
      <c r="J8" s="36">
        <f>'📊 DRE Mensal'!J30</f>
        <v>2.367894267177973E-2</v>
      </c>
      <c r="K8" s="36">
        <f>'📊 DRE Mensal'!K30</f>
        <v>2.367894267177973E-2</v>
      </c>
      <c r="L8" s="36">
        <f>'📊 DRE Mensal'!L30</f>
        <v>2.367894267177973E-2</v>
      </c>
      <c r="M8" s="36">
        <f>'📊 DRE Mensal'!M30</f>
        <v>2.367894267177973E-2</v>
      </c>
      <c r="N8" s="36">
        <f t="shared" si="0"/>
        <v>0.28414731206135674</v>
      </c>
    </row>
    <row r="9" spans="1:14" x14ac:dyDescent="0.25">
      <c r="A9" s="16" t="s">
        <v>203</v>
      </c>
      <c r="B9" s="35">
        <f>'📊 DRE Mensal'!B20</f>
        <v>26743.930000000004</v>
      </c>
      <c r="C9" s="35">
        <f>'📊 DRE Mensal'!C20</f>
        <v>28000.430000000004</v>
      </c>
      <c r="D9" s="35">
        <f>'📊 DRE Mensal'!D20</f>
        <v>30356.93</v>
      </c>
      <c r="E9" s="35">
        <f>'📊 DRE Mensal'!E20</f>
        <v>33870.29</v>
      </c>
      <c r="F9" s="35">
        <f>'📊 DRE Mensal'!F20</f>
        <v>35741.19</v>
      </c>
      <c r="G9" s="35">
        <f>'📊 DRE Mensal'!G20</f>
        <v>37322.369999999995</v>
      </c>
      <c r="H9" s="35">
        <f>'📊 DRE Mensal'!H20</f>
        <v>39494.92</v>
      </c>
      <c r="I9" s="35">
        <f>'📊 DRE Mensal'!I20</f>
        <v>36411.5</v>
      </c>
      <c r="J9" s="35">
        <f>'📊 DRE Mensal'!J20</f>
        <v>34161</v>
      </c>
      <c r="K9" s="35">
        <f>'📊 DRE Mensal'!K20</f>
        <v>38593.919999999998</v>
      </c>
      <c r="L9" s="35">
        <f>'📊 DRE Mensal'!L20</f>
        <v>39492.51</v>
      </c>
      <c r="M9" s="35">
        <f>'📊 DRE Mensal'!M20</f>
        <v>44715.44</v>
      </c>
      <c r="N9" s="35">
        <f>SUM(B9:M9)</f>
        <v>424904.43</v>
      </c>
    </row>
    <row r="10" spans="1:14" x14ac:dyDescent="0.25">
      <c r="A10" s="24" t="s">
        <v>204</v>
      </c>
      <c r="B10" s="37">
        <f>'📊 DRE Mensal'!B25</f>
        <v>10975.480000000001</v>
      </c>
      <c r="C10" s="37">
        <f>'📊 DRE Mensal'!C25</f>
        <v>11531.03</v>
      </c>
      <c r="D10" s="37">
        <f>'📊 DRE Mensal'!D25</f>
        <v>12658.480000000001</v>
      </c>
      <c r="E10" s="37">
        <f>'📊 DRE Mensal'!E25</f>
        <v>14007.750000000002</v>
      </c>
      <c r="F10" s="37">
        <f>'📊 DRE Mensal'!F25</f>
        <v>14419.000000000002</v>
      </c>
      <c r="G10" s="37">
        <f>'📊 DRE Mensal'!G25</f>
        <v>15111.11</v>
      </c>
      <c r="H10" s="37">
        <f>'📊 DRE Mensal'!H25</f>
        <v>16181.95</v>
      </c>
      <c r="I10" s="37">
        <f>'📊 DRE Mensal'!I25</f>
        <v>14957.289999999999</v>
      </c>
      <c r="J10" s="37">
        <f>'📊 DRE Mensal'!J25</f>
        <v>13954.679999999998</v>
      </c>
      <c r="K10" s="37">
        <f>'📊 DRE Mensal'!K25</f>
        <v>15652.24</v>
      </c>
      <c r="L10" s="37">
        <f>'📊 DRE Mensal'!L25</f>
        <v>16228.22</v>
      </c>
      <c r="M10" s="37">
        <f>'📊 DRE Mensal'!M25</f>
        <v>18350.53</v>
      </c>
      <c r="N10" s="37">
        <f t="shared" si="0"/>
        <v>174027.75999999998</v>
      </c>
    </row>
    <row r="12" spans="1:14" ht="15.75" thickBot="1" x14ac:dyDescent="0.3">
      <c r="A12" s="30" t="s">
        <v>205</v>
      </c>
      <c r="B12" s="38" t="str">
        <f>IF('📊 DRE Mensal'!B28&gt;0,"✅ LUCRO","🔴 PREJUÍZO")</f>
        <v>✅ LUCRO</v>
      </c>
      <c r="C12" s="38" t="str">
        <f>IF('📊 DRE Mensal'!C28&gt;0,"✅ LUCRO","🔴 PREJUÍZO")</f>
        <v>✅ LUCRO</v>
      </c>
      <c r="D12" s="38" t="str">
        <f>IF('📊 DRE Mensal'!D28&gt;0,"✅ LUCRO","🔴 PREJUÍZO")</f>
        <v>✅ LUCRO</v>
      </c>
      <c r="E12" s="38" t="str">
        <f>IF('📊 DRE Mensal'!E28&gt;0,"✅ LUCRO","🔴 PREJUÍZO")</f>
        <v>✅ LUCRO</v>
      </c>
      <c r="F12" s="38" t="str">
        <f>IF('📊 DRE Mensal'!F28&gt;0,"✅ LUCRO","🔴 PREJUÍZO")</f>
        <v>✅ LUCRO</v>
      </c>
      <c r="G12" s="38" t="str">
        <f>IF('📊 DRE Mensal'!G28&gt;0,"✅ LUCRO","🔴 PREJUÍZO")</f>
        <v>✅ LUCRO</v>
      </c>
      <c r="H12" s="38" t="str">
        <f>IF('📊 DRE Mensal'!H28&gt;0,"✅ LUCRO","🔴 PREJUÍZO")</f>
        <v>✅ LUCRO</v>
      </c>
      <c r="I12" s="38" t="str">
        <f>IF('📊 DRE Mensal'!I28&gt;0,"✅ LUCRO","🔴 PREJUÍZO")</f>
        <v>✅ LUCRO</v>
      </c>
      <c r="J12" s="38" t="str">
        <f>IF('📊 DRE Mensal'!J28&gt;0,"✅ LUCRO","🔴 PREJUÍZO")</f>
        <v>✅ LUCRO</v>
      </c>
      <c r="K12" s="38" t="str">
        <f>IF('📊 DRE Mensal'!K28&gt;0,"✅ LUCRO","🔴 PREJUÍZO")</f>
        <v>✅ LUCRO</v>
      </c>
      <c r="L12" s="38" t="str">
        <f>IF('📊 DRE Mensal'!L28&gt;0,"✅ LUCRO","🔴 PREJUÍZO")</f>
        <v>✅ LUCRO</v>
      </c>
      <c r="M12" s="38" t="str">
        <f>IF('📊 DRE Mensal'!M28&gt;0,"✅ LUCRO","🔴 PREJUÍZO")</f>
        <v>✅ LUCRO</v>
      </c>
      <c r="N12" s="39"/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9D63-258C-4513-9AAB-C16374579D2B}">
  <sheetPr>
    <tabColor theme="7"/>
  </sheetPr>
  <dimension ref="A1:T25"/>
  <sheetViews>
    <sheetView tabSelected="1" zoomScale="80" zoomScaleNormal="80" workbookViewId="0">
      <selection activeCell="W20" sqref="W20"/>
    </sheetView>
  </sheetViews>
  <sheetFormatPr defaultColWidth="8.7109375" defaultRowHeight="15" x14ac:dyDescent="0.25"/>
  <cols>
    <col min="1" max="1" width="5" bestFit="1" customWidth="1"/>
    <col min="2" max="2" width="24" customWidth="1"/>
    <col min="3" max="4" width="10.140625" bestFit="1" customWidth="1"/>
    <col min="5" max="5" width="14.140625" customWidth="1"/>
    <col min="6" max="10" width="9" customWidth="1"/>
    <col min="11" max="11" width="21.7109375" customWidth="1"/>
    <col min="12" max="19" width="9" customWidth="1"/>
  </cols>
  <sheetData>
    <row r="1" spans="1:20" ht="20.25" customHeight="1" x14ac:dyDescent="0.25">
      <c r="A1" s="79" t="s">
        <v>239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8" customHeight="1" thickBot="1" x14ac:dyDescent="0.3"/>
    <row r="3" spans="1:20" ht="24" customHeight="1" thickBot="1" x14ac:dyDescent="0.3">
      <c r="A3" s="58" t="s">
        <v>206</v>
      </c>
      <c r="B3" s="58"/>
      <c r="D3" s="59" t="s">
        <v>207</v>
      </c>
      <c r="E3" s="59"/>
      <c r="G3" s="60" t="s">
        <v>208</v>
      </c>
      <c r="H3" s="60"/>
      <c r="J3" s="61" t="s">
        <v>209</v>
      </c>
      <c r="K3" s="61"/>
    </row>
    <row r="4" spans="1:20" ht="24" customHeight="1" thickBot="1" x14ac:dyDescent="0.3">
      <c r="A4" s="58"/>
      <c r="B4" s="58"/>
      <c r="D4" s="59"/>
      <c r="E4" s="59"/>
      <c r="G4" s="60"/>
      <c r="H4" s="60"/>
      <c r="J4" s="61"/>
      <c r="K4" s="61"/>
    </row>
    <row r="5" spans="1:20" ht="33.75" customHeight="1" thickBot="1" x14ac:dyDescent="0.3">
      <c r="A5" s="62">
        <f>'📊 DRE Mensal'!N9</f>
        <v>1323449</v>
      </c>
      <c r="B5" s="62"/>
      <c r="D5" s="63">
        <f>'📊 DRE Mensal'!N29</f>
        <v>38244.460000000014</v>
      </c>
      <c r="E5" s="63"/>
      <c r="G5" s="64">
        <f>AVERAGE('🎯 Indicadores KPI'!B8:M8)</f>
        <v>2.3678942671779727E-2</v>
      </c>
      <c r="H5" s="64"/>
      <c r="J5" s="65">
        <f>'📊 DRE Mensal'!N21+'📊 DRE Mensal'!N28</f>
        <v>1147504.94</v>
      </c>
      <c r="K5" s="65"/>
    </row>
    <row r="6" spans="1:20" ht="33.75" customHeight="1" thickBot="1" x14ac:dyDescent="0.3">
      <c r="A6" s="62"/>
      <c r="B6" s="62"/>
      <c r="D6" s="63"/>
      <c r="E6" s="63"/>
      <c r="G6" s="64"/>
      <c r="H6" s="64"/>
      <c r="J6" s="65"/>
      <c r="K6" s="65"/>
    </row>
    <row r="7" spans="1:20" ht="33.75" customHeight="1" x14ac:dyDescent="0.25">
      <c r="A7" s="62"/>
      <c r="B7" s="62"/>
      <c r="D7" s="63"/>
      <c r="E7" s="63"/>
      <c r="G7" s="64"/>
      <c r="H7" s="64"/>
      <c r="J7" s="65"/>
      <c r="K7" s="65"/>
    </row>
    <row r="10" spans="1:20" x14ac:dyDescent="0.25">
      <c r="A10" s="40" t="s">
        <v>1</v>
      </c>
      <c r="B10" s="40" t="s">
        <v>13</v>
      </c>
      <c r="C10" s="40" t="s">
        <v>210</v>
      </c>
      <c r="D10" s="40" t="s">
        <v>211</v>
      </c>
      <c r="E10" s="40" t="s">
        <v>212</v>
      </c>
    </row>
    <row r="11" spans="1:20" x14ac:dyDescent="0.25">
      <c r="A11" s="41" t="s">
        <v>171</v>
      </c>
      <c r="B11" s="42">
        <f>'📊 DRE Mensal'!B9</f>
        <v>82926</v>
      </c>
      <c r="C11" s="42">
        <f>'📊 DRE Mensal'!B$28+'📊 DRE Mensal'!B$21</f>
        <v>72331.14</v>
      </c>
      <c r="D11" s="42">
        <f>'📊 DRE Mensal'!B$32</f>
        <v>1963.6000000000058</v>
      </c>
      <c r="E11" s="43">
        <f>IFERROR('📊 DRE Mensal'!B$29/'📊 DRE Mensal'!B$9,0)</f>
        <v>2.367894267177973E-2</v>
      </c>
    </row>
    <row r="12" spans="1:20" x14ac:dyDescent="0.25">
      <c r="A12" s="41" t="s">
        <v>172</v>
      </c>
      <c r="B12" s="42">
        <f>'📊 DRE Mensal'!C9</f>
        <v>84534</v>
      </c>
      <c r="C12" s="42">
        <f>'📊 DRE Mensal'!C$28+'📊 DRE Mensal'!C$21</f>
        <v>75093.100000000006</v>
      </c>
      <c r="D12" s="42">
        <f>'📊 DRE Mensal'!C$32</f>
        <v>594.98999999999796</v>
      </c>
      <c r="E12" s="43">
        <f>IFERROR('📊 DRE Mensal'!C$29/'📊 DRE Mensal'!C$9,0)</f>
        <v>7.0384697281566941E-3</v>
      </c>
    </row>
    <row r="13" spans="1:20" x14ac:dyDescent="0.25">
      <c r="A13" s="41" t="s">
        <v>173</v>
      </c>
      <c r="B13" s="42">
        <f>'📊 DRE Mensal'!D9</f>
        <v>97722</v>
      </c>
      <c r="C13" s="42">
        <f>'📊 DRE Mensal'!D$28+'📊 DRE Mensal'!D$21</f>
        <v>81997.590000000011</v>
      </c>
      <c r="D13" s="42">
        <f>'📊 DRE Mensal'!D$32</f>
        <v>5800.6399999999849</v>
      </c>
      <c r="E13" s="43">
        <f>IFERROR('📊 DRE Mensal'!D$29/'📊 DRE Mensal'!D$9,0)</f>
        <v>5.9358588649433955E-2</v>
      </c>
    </row>
    <row r="14" spans="1:20" x14ac:dyDescent="0.25">
      <c r="A14" s="41" t="s">
        <v>174</v>
      </c>
      <c r="B14" s="42">
        <f>'📊 DRE Mensal'!E9</f>
        <v>108388</v>
      </c>
      <c r="C14" s="42">
        <f>'📊 DRE Mensal'!E$28+'📊 DRE Mensal'!E$21</f>
        <v>92749.06</v>
      </c>
      <c r="D14" s="42">
        <f>'📊 DRE Mensal'!E$32</f>
        <v>4879.8099999999904</v>
      </c>
      <c r="E14" s="43">
        <f>IFERROR('📊 DRE Mensal'!E$29/'📊 DRE Mensal'!E$9,0)</f>
        <v>4.5021681366940902E-2</v>
      </c>
    </row>
    <row r="15" spans="1:20" x14ac:dyDescent="0.25">
      <c r="A15" s="41" t="s">
        <v>175</v>
      </c>
      <c r="B15" s="42">
        <f>'📊 DRE Mensal'!F9</f>
        <v>110071</v>
      </c>
      <c r="C15" s="42">
        <f>'📊 DRE Mensal'!F$28+'📊 DRE Mensal'!F$21</f>
        <v>95370.91</v>
      </c>
      <c r="D15" s="42">
        <f>'📊 DRE Mensal'!F$32</f>
        <v>3458.9300000000003</v>
      </c>
      <c r="E15" s="43">
        <f>IFERROR('📊 DRE Mensal'!F$29/'📊 DRE Mensal'!F$9,0)</f>
        <v>3.1424535072816638E-2</v>
      </c>
    </row>
    <row r="16" spans="1:20" x14ac:dyDescent="0.25">
      <c r="A16" s="41" t="s">
        <v>176</v>
      </c>
      <c r="B16" s="42">
        <f>'📊 DRE Mensal'!G9</f>
        <v>118631</v>
      </c>
      <c r="C16" s="42">
        <f>'📊 DRE Mensal'!G$28+'📊 DRE Mensal'!G$21</f>
        <v>99619.95</v>
      </c>
      <c r="D16" s="42">
        <f>'📊 DRE Mensal'!G$32</f>
        <v>7145.2100000000064</v>
      </c>
      <c r="E16" s="43">
        <f>IFERROR('📊 DRE Mensal'!G$29/'📊 DRE Mensal'!G$9,0)</f>
        <v>6.0230546821657127E-2</v>
      </c>
    </row>
    <row r="17" spans="1:12" x14ac:dyDescent="0.25">
      <c r="A17" s="41" t="s">
        <v>177</v>
      </c>
      <c r="B17" s="42">
        <f>'📊 DRE Mensal'!H9</f>
        <v>120257</v>
      </c>
      <c r="C17" s="42">
        <f>'📊 DRE Mensal'!H$28+'📊 DRE Mensal'!H$21</f>
        <v>105379.96</v>
      </c>
      <c r="D17" s="42">
        <f>'📊 DRE Mensal'!H$32</f>
        <v>1918.6699999999983</v>
      </c>
      <c r="E17" s="43">
        <f>IFERROR('📊 DRE Mensal'!H$29/'📊 DRE Mensal'!H$9,0)</f>
        <v>1.5954746917019369E-2</v>
      </c>
    </row>
    <row r="18" spans="1:12" x14ac:dyDescent="0.25">
      <c r="A18" s="41" t="s">
        <v>178</v>
      </c>
      <c r="B18" s="42">
        <f>'📊 DRE Mensal'!I9</f>
        <v>111396</v>
      </c>
      <c r="C18" s="42">
        <f>'📊 DRE Mensal'!I$28+'📊 DRE Mensal'!I$21</f>
        <v>98501.01</v>
      </c>
      <c r="D18" s="42">
        <f>'📊 DRE Mensal'!I$32</f>
        <v>835.73000000001048</v>
      </c>
      <c r="E18" s="43">
        <f>IFERROR('📊 DRE Mensal'!I$29/'📊 DRE Mensal'!I$9,0)</f>
        <v>7.5023340155841367E-3</v>
      </c>
    </row>
    <row r="19" spans="1:12" x14ac:dyDescent="0.25">
      <c r="A19" s="41" t="s">
        <v>179</v>
      </c>
      <c r="B19" s="42">
        <f>'📊 DRE Mensal'!J9</f>
        <v>107448</v>
      </c>
      <c r="C19" s="42">
        <f>'📊 DRE Mensal'!J$28+'📊 DRE Mensal'!J$21</f>
        <v>93586.76</v>
      </c>
      <c r="D19" s="42">
        <f>'📊 DRE Mensal'!J$32</f>
        <v>2684.070000000007</v>
      </c>
      <c r="E19" s="43">
        <f>IFERROR('📊 DRE Mensal'!J$29/'📊 DRE Mensal'!J$9,0)</f>
        <v>2.4980176457449248E-2</v>
      </c>
    </row>
    <row r="20" spans="1:12" x14ac:dyDescent="0.25">
      <c r="A20" s="41" t="s">
        <v>180</v>
      </c>
      <c r="B20" s="42">
        <f>'📊 DRE Mensal'!K9</f>
        <v>115762</v>
      </c>
      <c r="C20" s="42">
        <f>'📊 DRE Mensal'!K$28+'📊 DRE Mensal'!K$21</f>
        <v>102608.04999999999</v>
      </c>
      <c r="D20" s="42">
        <f>'📊 DRE Mensal'!K$32</f>
        <v>896.79000000000087</v>
      </c>
      <c r="E20" s="43">
        <f>IFERROR('📊 DRE Mensal'!K$29/'📊 DRE Mensal'!K$9,0)</f>
        <v>7.7468426599402295E-3</v>
      </c>
    </row>
    <row r="21" spans="1:12" x14ac:dyDescent="0.25">
      <c r="A21" s="41" t="s">
        <v>181</v>
      </c>
      <c r="B21" s="42">
        <f>'📊 DRE Mensal'!L9</f>
        <v>122115</v>
      </c>
      <c r="C21" s="42">
        <f>'📊 DRE Mensal'!L$28+'📊 DRE Mensal'!L$21</f>
        <v>107827.57999999999</v>
      </c>
      <c r="D21" s="42">
        <f>'📊 DRE Mensal'!L$32</f>
        <v>1274.7200000000084</v>
      </c>
      <c r="E21" s="43">
        <f>IFERROR('📊 DRE Mensal'!L$29/'📊 DRE Mensal'!L$9,0)</f>
        <v>1.0438684846251553E-2</v>
      </c>
    </row>
    <row r="22" spans="1:12" x14ac:dyDescent="0.25">
      <c r="A22" s="41" t="s">
        <v>182</v>
      </c>
      <c r="B22" s="42">
        <f>'📊 DRE Mensal'!M9</f>
        <v>144199</v>
      </c>
      <c r="C22" s="42">
        <f>'📊 DRE Mensal'!M$28+'📊 DRE Mensal'!M$21</f>
        <v>122439.83</v>
      </c>
      <c r="D22" s="42">
        <f>'📊 DRE Mensal'!M$32</f>
        <v>6791.3000000000029</v>
      </c>
      <c r="E22" s="43">
        <f>IFERROR('📊 DRE Mensal'!M$29/'📊 DRE Mensal'!M$9,0)</f>
        <v>4.7096720504303101E-2</v>
      </c>
    </row>
    <row r="25" spans="1:12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</sheetData>
  <mergeCells count="9">
    <mergeCell ref="A5:B7"/>
    <mergeCell ref="D5:E7"/>
    <mergeCell ref="G5:H7"/>
    <mergeCell ref="J5:K7"/>
    <mergeCell ref="A1:T1"/>
    <mergeCell ref="A3:B4"/>
    <mergeCell ref="D3:E4"/>
    <mergeCell ref="G3:H4"/>
    <mergeCell ref="J3:K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2D16-D8CD-4E29-BB48-D4D88C027E55}">
  <sheetPr>
    <tabColor theme="5" tint="-0.249977111117893"/>
  </sheetPr>
  <dimension ref="A1:B33"/>
  <sheetViews>
    <sheetView topLeftCell="A17" workbookViewId="0">
      <selection activeCell="G45" sqref="G45"/>
    </sheetView>
  </sheetViews>
  <sheetFormatPr defaultRowHeight="15" x14ac:dyDescent="0.25"/>
  <cols>
    <col min="1" max="1" width="5" customWidth="1"/>
    <col min="2" max="2" width="70" customWidth="1"/>
  </cols>
  <sheetData>
    <row r="1" spans="1:2" ht="17.25" thickBot="1" x14ac:dyDescent="0.3">
      <c r="A1" s="76" t="s">
        <v>235</v>
      </c>
      <c r="B1" s="76"/>
    </row>
    <row r="2" spans="1:2" x14ac:dyDescent="0.25">
      <c r="A2" s="77"/>
      <c r="B2" s="77"/>
    </row>
    <row r="3" spans="1:2" x14ac:dyDescent="0.25">
      <c r="A3" s="78" t="s">
        <v>216</v>
      </c>
      <c r="B3" s="78"/>
    </row>
    <row r="4" spans="1:2" x14ac:dyDescent="0.25">
      <c r="A4" s="67"/>
      <c r="B4" s="67"/>
    </row>
    <row r="5" spans="1:2" ht="31.5" customHeight="1" x14ac:dyDescent="0.25">
      <c r="A5" s="67" t="s">
        <v>233</v>
      </c>
      <c r="B5" s="67"/>
    </row>
    <row r="6" spans="1:2" ht="15" customHeight="1" x14ac:dyDescent="0.25">
      <c r="A6" s="67" t="s">
        <v>217</v>
      </c>
      <c r="B6" s="67"/>
    </row>
    <row r="7" spans="1:2" x14ac:dyDescent="0.25">
      <c r="A7" s="75"/>
      <c r="B7" s="75"/>
    </row>
    <row r="8" spans="1:2" x14ac:dyDescent="0.25">
      <c r="A8" s="72" t="s">
        <v>218</v>
      </c>
      <c r="B8" s="72"/>
    </row>
    <row r="9" spans="1:2" x14ac:dyDescent="0.25">
      <c r="A9" s="67"/>
      <c r="B9" s="67"/>
    </row>
    <row r="10" spans="1:2" x14ac:dyDescent="0.25">
      <c r="A10" s="74" t="s">
        <v>219</v>
      </c>
      <c r="B10" s="74"/>
    </row>
    <row r="11" spans="1:2" x14ac:dyDescent="0.25">
      <c r="A11" s="74" t="s">
        <v>220</v>
      </c>
      <c r="B11" s="74"/>
    </row>
    <row r="12" spans="1:2" x14ac:dyDescent="0.25">
      <c r="A12" s="74" t="s">
        <v>221</v>
      </c>
      <c r="B12" s="74"/>
    </row>
    <row r="13" spans="1:2" x14ac:dyDescent="0.25">
      <c r="A13" s="74" t="s">
        <v>222</v>
      </c>
      <c r="B13" s="74"/>
    </row>
    <row r="14" spans="1:2" x14ac:dyDescent="0.25">
      <c r="A14" s="67"/>
      <c r="B14" s="67"/>
    </row>
    <row r="15" spans="1:2" x14ac:dyDescent="0.25">
      <c r="A15" s="72" t="s">
        <v>223</v>
      </c>
      <c r="B15" s="72"/>
    </row>
    <row r="16" spans="1:2" x14ac:dyDescent="0.25">
      <c r="A16" s="67"/>
      <c r="B16" s="67"/>
    </row>
    <row r="17" spans="1:2" ht="15" customHeight="1" x14ac:dyDescent="0.25">
      <c r="A17" s="67" t="s">
        <v>224</v>
      </c>
      <c r="B17" s="67"/>
    </row>
    <row r="18" spans="1:2" ht="15" customHeight="1" x14ac:dyDescent="0.25">
      <c r="A18" s="67" t="s">
        <v>225</v>
      </c>
      <c r="B18" s="67"/>
    </row>
    <row r="19" spans="1:2" ht="15" customHeight="1" x14ac:dyDescent="0.25">
      <c r="A19" s="67" t="s">
        <v>226</v>
      </c>
      <c r="B19" s="67"/>
    </row>
    <row r="20" spans="1:2" ht="15" customHeight="1" x14ac:dyDescent="0.25">
      <c r="A20" s="67" t="s">
        <v>236</v>
      </c>
      <c r="B20" s="67"/>
    </row>
    <row r="21" spans="1:2" x14ac:dyDescent="0.25">
      <c r="A21" s="67"/>
      <c r="B21" s="67"/>
    </row>
    <row r="22" spans="1:2" x14ac:dyDescent="0.25">
      <c r="A22" s="72" t="s">
        <v>227</v>
      </c>
      <c r="B22" s="72"/>
    </row>
    <row r="23" spans="1:2" x14ac:dyDescent="0.25">
      <c r="A23" s="67"/>
      <c r="B23" s="67"/>
    </row>
    <row r="24" spans="1:2" x14ac:dyDescent="0.25">
      <c r="A24" s="73" t="s">
        <v>237</v>
      </c>
      <c r="B24" s="73"/>
    </row>
    <row r="25" spans="1:2" x14ac:dyDescent="0.25">
      <c r="A25" s="69" t="s">
        <v>238</v>
      </c>
      <c r="B25" s="69"/>
    </row>
    <row r="26" spans="1:2" x14ac:dyDescent="0.25">
      <c r="A26" s="70" t="s">
        <v>228</v>
      </c>
      <c r="B26" s="70"/>
    </row>
    <row r="27" spans="1:2" x14ac:dyDescent="0.25">
      <c r="A27" s="71" t="s">
        <v>229</v>
      </c>
      <c r="B27" s="71"/>
    </row>
    <row r="28" spans="1:2" x14ac:dyDescent="0.25">
      <c r="A28" s="67"/>
      <c r="B28" s="67"/>
    </row>
    <row r="29" spans="1:2" x14ac:dyDescent="0.25">
      <c r="A29" s="72" t="s">
        <v>230</v>
      </c>
      <c r="B29" s="72"/>
    </row>
    <row r="30" spans="1:2" x14ac:dyDescent="0.25">
      <c r="A30" s="67"/>
      <c r="B30" s="67"/>
    </row>
    <row r="31" spans="1:2" x14ac:dyDescent="0.25">
      <c r="A31" s="66" t="s">
        <v>231</v>
      </c>
      <c r="B31" s="66"/>
    </row>
    <row r="32" spans="1:2" x14ac:dyDescent="0.25">
      <c r="A32" s="67"/>
      <c r="B32" s="67"/>
    </row>
    <row r="33" spans="1:2" x14ac:dyDescent="0.25">
      <c r="A33" s="68" t="s">
        <v>232</v>
      </c>
      <c r="B33" s="68"/>
    </row>
  </sheetData>
  <mergeCells count="33"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📋 Lançamentos</vt:lpstr>
      <vt:lpstr>📊 DRE Mensal</vt:lpstr>
      <vt:lpstr>🎯 Indicadores KPI</vt:lpstr>
      <vt:lpstr>📈 Dashboard</vt:lpstr>
      <vt:lpstr>📖 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Alice Rocha</cp:lastModifiedBy>
  <cp:revision>0</cp:revision>
  <dcterms:created xsi:type="dcterms:W3CDTF">2026-06-06T13:24:52Z</dcterms:created>
  <dcterms:modified xsi:type="dcterms:W3CDTF">2026-06-06T18:41:15Z</dcterms:modified>
  <dc:language>en-US</dc:language>
</cp:coreProperties>
</file>